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12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amsung\Desktop\"/>
    </mc:Choice>
  </mc:AlternateContent>
  <x:bookViews>
    <x:workbookView xWindow="0" yWindow="0" windowWidth="28545" windowHeight="11490" tabRatio="500" activeTab="1"/>
  </x:bookViews>
  <x:sheets>
    <x:sheet name="produccts" sheetId="1" r:id="rId4"/>
    <x:sheet name="상품상세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<x:sst xmlns:r="http://schemas.openxmlformats.org/officeDocument/2006/relationships" xmlns:c="http://schemas.openxmlformats.org/drawingml/2006/chart" xmlns:x="http://schemas.openxmlformats.org/spreadsheetml/2006/main" count="824" uniqueCount="386">
  <x:si>
    <x:t>암진단, 항암치료, 뇌/심장질환 특약 다수</x:t>
  </x:si>
  <x:si>
    <x:t>무배당 우체국보너스팡팡연금보험2511</x:t>
  </x:si>
  <x:si>
    <x:t>무배당 어깨동무보험 생활보장형2504</x:t>
  </x:si>
  <x:si>
    <x:t>무배당 우체국암뇌심주요치료비보험2511</x:t>
  </x:si>
  <x:si>
    <x:t>재해사망, 입원, 수술, 골절, 외모수술</x:t>
  </x:si>
  <x:si>
    <x:t>무배당 우체국New건강클리닉보험2509</x:t>
  </x:si>
  <x:si>
    <x:t>암 전용 최고 보장, 재진단 반복보장</x:t>
  </x:si>
  <x:si>
    <x:t>무배당 어깨동무보험 상해보장형2504</x:t>
  </x:si>
  <x:si>
    <x:t>사망 + 질병 결합형, 치료자금 선지급</x:t>
  </x:si>
  <x:si>
    <x:t>사망 + 재해장해 + 생활안정자금 지급</x:t>
  </x:si>
  <x:si>
    <x:t>무배당 우체국든든한건강종신보험2506</x:t>
  </x:si>
  <x:si>
    <x:t>무배당 우체국간편건강보험(325)2504</x:t>
  </x:si>
  <x:si>
    <x:t>간편보험 보험료 높음, 보장 제한 가능</x:t>
  </x:si>
  <x:si>
    <x:t>사망 + 암/뇌/심장 + 수술 종합보장</x:t>
  </x:si>
  <x:si>
    <x:t>암 + 뇌 + 심장 진단 중심 건강보험</x:t>
  </x:si>
  <x:si>
    <x:t>무배당 우체국간편실손의료비보험2601</x:t>
  </x:si>
  <x:si>
    <x:t>무배당우체국노후실손의료비보험갱신형2601</x:t>
  </x:si>
  <x:si>
    <x:t>무배당 우체국급여실손의료비보험2504</x:t>
  </x:si>
  <x:si>
    <x:t>무배당우체국급여실손의료비보험갱신형2504</x:t>
  </x:si>
  <x:si>
    <x:t>무배당우체국하나로건강종신보험OK2504</x:t>
  </x:si>
  <x:si>
    <x:t>무배당 우체국노후실손의료비보험2601</x:t>
  </x:si>
  <x:si>
    <x:t>뇌출혈, 뇌혈관, 심근경색, 허혈성심장질환</x:t>
  </x:si>
  <x:si>
    <x:t>무배당 우체국더든든한자녀지킴이보험2504</x:t>
  </x:si>
  <x:si>
    <x:t>3대질병 치료 중심 반복보장(최대10회)</x:t>
  </x:si>
  <x:si>
    <x:t>어린이 종합보험 (암/입원/수술/선천질환)</x:t>
  </x:si>
  <x:si>
    <x:t>무배당 우체국간편건강보험(355)2504</x:t>
  </x:si>
  <x:si>
    <x:t>입원간병특약, 장기요양특약, 정기특약</x:t>
  </x:si>
  <x:si>
    <x:t>무배당 우체국하나로OK건강종신보험2504</x:t>
  </x:si>
  <x:si>
    <x:t>무배당 그린보너스저축보험플러스2504</x:t>
  </x:si>
  <x:si>
    <x:t>갱신형 + 보험료 상승</x:t>
  </x:si>
  <x:si>
    <x:t>일반 건강인에게는 비효율</x:t>
  </x:si>
  <x:si>
    <x:t>암/뇌/심장/치매 특약 가능</x:t>
  </x:si>
  <x:si>
    <x:t>충치/잇몸/재해 치료 포함</x:t>
  </x:si>
  <x:si>
    <x:t>우체국실속정기보험2504</x:t>
  </x:si>
  <x:si>
    <x:t>특화상품이라 암 보장은 없음</x:t>
  </x:si>
  <x:si>
    <x:t>급여+비급여 의료비 보장</x:t>
  </x:si>
  <x:si>
    <x:t>우체국당뇨안심보험2504</x:t>
  </x:si>
  <x:si>
    <x:t>장애인 노후 대비 연금</x:t>
  </x:si>
  <x:si>
    <x:t>우체국뇌심케어보험2506</x:t>
  </x:si>
  <x:si>
    <x:t>우체국암케어보험2603</x:t>
  </x:si>
  <x:si>
    <x:t>출생부터 보장, 맞춤형 설계</x:t>
  </x:si>
  <x:si>
    <x:t>종신/확정기간 연금 선택</x:t>
  </x:si>
  <x:si>
    <x:t>세액공제 가능한 대표 연금</x:t>
  </x:si>
  <x:si>
    <x:t>무배당내가만든희망보험2504</x:t>
  </x:si>
  <x:si>
    <x:t>갱신형이라 보험료 상승</x:t>
  </x:si>
  <x:si>
    <x:t>교통재해 외 보장 약함</x:t>
  </x:si>
  <x:si>
    <x:t>종신 + 특약 확장형 구조</x:t>
  </x:si>
  <x:si>
    <x:t>우체국안전벨트보험2504</x:t>
  </x:si>
  <x:si>
    <x:t>무배당우체국치아보험2504</x:t>
  </x:si>
  <x:si>
    <x:t>사망 중심, 질병보장 약함</x:t>
  </x:si>
  <x:si>
    <x:t>요양병원/상급병실 특약 가능</x:t>
  </x:si>
  <x:si>
    <x:t>당뇨 특화, 중증도별 보장</x:t>
  </x:si>
  <x:si>
    <x:t>장애인 생활안정 자금 지원</x:t>
  </x:si>
  <x:si>
    <x:t>종신 + 건강보장 결합</x:t>
  </x:si>
  <x:si>
    <x:t>우체국간병비보험2504</x:t>
  </x:si>
  <x:si>
    <x:t>저축형 보험 (목돈 마련)</x:t>
  </x:si>
  <x:si>
    <x:t>연금형 선택 (종신/확정)</x:t>
  </x:si>
  <x:si>
    <x:t>갱신형 보험료 상승 가능</x:t>
  </x:si>
  <x:si>
    <x:t>노후연금 + 저축형 상품</x:t>
  </x:si>
  <x:si>
    <x:t>무배당 파워적립보험2504</x:t>
  </x:si>
  <x:si>
    <x:t>중증치매시 매월 간병비 지급</x:t>
  </x:si>
  <x:si>
    <x:t>보험료 높음, 종신보험 구조</x:t>
  </x:si>
  <x:si>
    <x:t>입원/통원 의료비 보장</x:t>
  </x:si>
  <x:si>
    <x:t>유병자 가입 가능, 종합보장</x:t>
  </x:si>
  <x:si>
    <x:t>종신연금 + 생존연금 지급</x:t>
  </x:si>
  <x:si>
    <x:t>종합형이라 보험료 중간 이상</x:t>
  </x:si>
  <x:si>
    <x:t>우체국더간편건강보험2504</x:t>
  </x:si>
  <x:si>
    <x:t>어깨동무연금보험2504</x:t>
  </x:si>
  <x:si>
    <x:t>종신연금/확정연금/조기집중형</x:t>
  </x:si>
  <x:si>
    <x:t>연금 + 재해보장 결합형</x:t>
  </x:si>
  <x:si>
    <x:t>연금 + 재테크 + 비과세</x:t>
  </x:si>
  <x:si>
    <x:t>비갱신형 + 일부 특약 갱신</x:t>
  </x:si>
  <x:si>
    <x:t>배당형 + 고수익 가능</x:t>
  </x:si>
  <x:si>
    <x:t>무배당에버리치상해보험2504</x:t>
  </x:si>
  <x:si>
    <x:t>보장 강화형, 고령자 유리</x:t>
  </x:si>
  <x:si>
    <x:t>우체국연금저축보험2504</x:t>
  </x:si>
  <x:si>
    <x:t>암 진단보험금 + 만기환급</x:t>
  </x:si>
  <x:si>
    <x:t>상해 중심 저렴한 보장</x:t>
  </x:si>
  <x:si>
    <x:t>암, 뇌, 심장 진단 + 수술, 항암, 중환자실 등 주요치료 보장</x:t>
  </x:si>
  <x:si>
    <x:t>간병인사용비, 장기요양간병비, 월간병자금 지급</x:t>
  </x:si>
  <x:si>
    <x:t>사망보장 + 3대질병(암/뇌/심장) 진단시 선지급</x:t>
  </x:si>
  <x:si>
    <x:t>항암치료, 방사선, 표적항암, 주요치료 특약 다수</x:t>
  </x:si>
  <x:si>
    <x:t>암 최대 1000만원, 뇌/심장 최대 500만원</x:t>
  </x:si>
  <x:si>
    <x:t>우체국간편건강보험355(20년갱신형)2504</x:t>
  </x:si>
  <x:si>
    <x:t>암/뇌/심장 진단 + 입원 + 수술 + 항암치료</x:t>
  </x:si>
  <x:si>
    <x:t>암, 뇌, 심장 진단 및 입원 수술 항암치료</x:t>
  </x:si>
  <x:si>
    <x:t>암/뇌/심장 + 생활질병 + 상해 선택형 보장</x:t>
  </x:si>
  <x:si>
    <x:t>암진단, 전이암, 항암치료, 뇌심장치료 특약 다수</x:t>
  </x:si>
  <x:si>
    <x:t>당뇨 진단 + 합병증 + 수술 + 사망 종합보장</x:t>
  </x:si>
  <x:si>
    <x:t>종신연금/확정연금 + 운용보너스 + 유지보너스</x:t>
  </x:si>
  <x:si>
    <x:t>HbA1c 6.5/7.5/9.0 단계별 진단금 + 인슐린치료</x:t>
  </x:si>
  <x:si>
    <x:t>암 진단 최대 4000만원 + 항암치료, 수술 등 전단계 보장</x:t>
  </x:si>
  <x:si>
    <x:t>교통사고 사망, 장해, 입원, 수술, 골절, 깁스 등 종합보장</x:t>
  </x:si>
  <x:si>
    <x:t>무배당 우체국통합건강보험2504</x:t>
  </x:si>
  <x:si>
    <x:t>우체국더든든한자녀지킴이보험2504</x:t>
  </x:si>
  <x:si>
    <x:t>무배당 우체국더간편건강보험2504</x:t>
  </x:si>
  <x:si>
    <x:t>무배당 우체국실속정기보험2504</x:t>
  </x:si>
  <x:si>
    <x:t>무배당 우체국간병비보험2504</x:t>
  </x:si>
  <x:si>
    <x:t>우체국든든한건강종신보험2506</x:t>
  </x:si>
  <x:si>
    <x:t>노년층 의료비 보장 (입원/통원)</x:t>
  </x:si>
  <x:si>
    <x:t>우체국보너스팡팡연금보험2511</x:t>
  </x:si>
  <x:si>
    <x:t>3대질병 진단 + 입원/수술 보장</x:t>
  </x:si>
  <x:si>
    <x:t>암진단, 항암치료, 뇌심장 특약</x:t>
  </x:si>
  <x:si>
    <x:t>무배당 우체국안전벨트보험2504</x:t>
  </x:si>
  <x:si>
    <x:t>무배당 내가만든희망보험2504</x:t>
  </x:si>
  <x:si>
    <x:t>맞춤형 설계 가능 + 보험료 고정</x:t>
  </x:si>
  <x:si>
    <x:t>무배당어깨동무보험상해보장형2504</x:t>
  </x:si>
  <x:si>
    <x:t>암 + 입원 + 수술 + 선천질환</x:t>
  </x:si>
  <x:si>
    <x:t>보험료 상승 가능, 구조 복잡</x:t>
  </x:si>
  <x:si>
    <x:t>재해 사망 + 수술 + 골절 보장</x:t>
  </x:si>
  <x:si>
    <x:t>유병자 가입 가능, 핵심질병 집중</x:t>
  </x:si>
  <x:si>
    <x:t>무배당 우체국치아보험갱신형2504</x:t>
  </x:si>
  <x:si>
    <x:t>15~70세 (간편 35세 이상)</x:t>
  </x:si>
  <x:si>
    <x:t>그린보너스저축보험플러스2504</x:t>
  </x:si>
  <x:si>
    <x:t>간병비 집중 보장, 장기요양 대비</x:t>
  </x:si>
  <x:si>
    <x:t>실제 병원비 보장 (입원/통원)</x:t>
  </x:si>
  <x:si>
    <x:t>무배당어깨동무보험암보장형2504</x:t>
  </x:si>
  <x:si>
    <x:t>무배당 어깨동무보험 암보장형2504</x:t>
  </x:si>
  <x:si>
    <x:t>우체국간편실손의료비보험2601</x:t>
  </x:si>
  <x:si>
    <x:t>무배당우체국통합건강보험2504</x:t>
  </x:si>
  <x:si>
    <x:t>우체국간편건강보험325갱신형2504</x:t>
  </x:si>
  <x:si>
    <x:t>무배당 우체국암케어보험2603</x:t>
  </x:si>
  <x:si>
    <x:t>무배당우체국치매요양간병보험2509</x:t>
  </x:si>
  <x:si>
    <x:t>무배당 우체국뇌심케어보험2506</x:t>
  </x:si>
  <x:si>
    <x:t>저축 + 만기환급 + 이율보너스</x:t>
  </x:si>
  <x:si>
    <x:t>임플란트/브릿지/크라운 등 치과보장</x:t>
  </x:si>
  <x:si>
    <x:t>3대질병 종합보장, 구조 단순</x:t>
  </x:si>
  <x:si>
    <x:t>재해사망, 생활재해, 3대질병 특약</x:t>
  </x:si>
  <x:si>
    <x:t>저렴한 사망보장, 가성비 우수</x:t>
  </x:si>
  <x:si>
    <x:t>무배당 우체국당뇨안심보험2504</x:t>
  </x:si>
  <x:si>
    <x:t>저렴한 보험료로 교통사고 고액보장</x:t>
  </x:si>
  <x:si>
    <x:t>사망+진단+입원+수술 종합보장</x:t>
  </x:si>
  <x:si>
    <x:t>무배당 우체국치매요양간병보험2509</x:t>
  </x:si>
  <x:si>
    <x:t>무배당어깨동무보험생활보장형2504</x:t>
  </x:si>
  <x:si>
    <x:t>보험료 상승, 갱신 제한 가능</x:t>
  </x:si>
  <x:si>
    <x:t>유병자도 가입 가능, 필수보험</x:t>
  </x:si>
  <x:si>
    <x:t>우체국New건강클리닉보험2509</x:t>
  </x:si>
  <x:si>
    <x:t>치매진단 + 간병비 + 요양비 보장</x:t>
  </x:si>
  <x:si>
    <x:t>뇌심질환 특화, 단계별 진단금 구조</x:t>
  </x:si>
  <x:si>
    <x:t>입원 5천만원, 통원 20만원</x:t>
  </x:si>
  <x:si>
    <x:t>무배당파워적립보험만기목돈형2504</x:t>
  </x:si>
  <x:si>
    <x:t>우체국암뇌심주요치료비보험2511</x:t>
  </x:si>
  <x:si>
    <x:t>15~70세 (간편 30~70세)</x:t>
  </x:si>
  <x:si>
    <x:t>85~100만기</x:t>
  </x:si>
  <x:si>
    <x:t>구조 복잡 (선택형)</x:t>
  </x:si>
  <x:si>
    <x:t>세액공제 + 연금수령</x:t>
  </x:si>
  <x:si>
    <x:t>보험료 부담 큼</x:t>
  </x:si>
  <x:si>
    <x:t>갱신/비갱신 선택</x:t>
  </x:si>
  <x:si>
    <x:t>투자성 변동 있음</x:t>
  </x:si>
  <x:si>
    <x:t>이율 + 비과세 혜택</x:t>
  </x:si>
  <x:si>
    <x:t>질병 보장 없음</x:t>
  </x:si>
  <x:si>
    <x:t>90~100만기</x:t>
  </x:si>
  <x:si>
    <x:t>전연령(보험료 동일)</x:t>
  </x:si>
  <x:si>
    <x:t>기본 필수 실손보험</x:t>
  </x:si>
  <x:si>
    <x:t>보장성 보험 아님</x:t>
  </x:si>
  <x:si>
    <x:t>갱신형 (재가입형)</x:t>
  </x:si>
  <x:si>
    <x:t>우체국연금보험2504</x:t>
  </x:si>
  <x:si>
    <x:t>성인에게 부적합</x:t>
  </x:si>
  <x:si>
    <x:t>재해수술, 골절보장</x:t>
  </x:si>
  <x:si>
    <x:t>사망보장 + 장해보장</x:t>
  </x:si>
  <x:si>
    <x:t>장애인 대상 암보험</x:t>
  </x:si>
  <x:si>
    <x:t>장애인만 가입 가능</x:t>
  </x:si>
  <x:si>
    <x:t>중도해지 손실 가능</x:t>
  </x:si>
  <x:si>
    <x:t>10~30년만기</x:t>
  </x:si>
  <x:si>
    <x:t>고령자 전용 실손</x:t>
  </x:si>
  <x:si>
    <x:t>특약 많아 복잡</x:t>
  </x:si>
  <x:si>
    <x:t>10~100만기</x:t>
  </x:si>
  <x:si>
    <x:t>종신 + 특약 갱신형</x:t>
  </x:si>
  <x:si>
    <x:t>치과치료 종합보장</x:t>
  </x:si>
  <x:si>
    <x:t>갱신형 보험료 상승</x:t>
  </x:si>
  <x:si>
    <x:t>P건강클리닉01</x:t>
  </x:si>
  <x:si>
    <x:t>만기 시 적립금 지급</x:t>
  </x:si>
  <x:si>
    <x:t>갱신형/비갱신 선택</x:t>
  </x:si>
  <x:si>
    <x:t>건강/약복용/유병자</x:t>
  </x:si>
  <x:si>
    <x:t>80~100만기</x:t>
  </x:si>
  <x:si>
    <x:t>1년 미만 감액</x:t>
  </x:si>
  <x:si>
    <x:t>특약 많아 구조 복잡</x:t>
  </x:si>
  <x:si>
    <x:t>올인원 종합보험</x:t>
  </x:si>
  <x:si>
    <x:t>적립금 + 만기보험금</x:t>
  </x:si>
  <x:si>
    <x:t>단일구조(특약 최소)</x:t>
  </x:si>
  <x:si>
    <x:t>1년 미만 50%</x:t>
  </x:si>
  <x:si>
    <x:t>암진단 중심 구조</x:t>
  </x:si>
  <x:si>
    <x:t>90~100세 만기</x:t>
  </x:si>
  <x:si>
    <x:t>저축형 (예치/적립)</x:t>
  </x:si>
  <x:si>
    <x:t>일반인 가입 불가</x:t>
  </x:si>
  <x:si>
    <x:t>일시납/10~20년납</x:t>
  </x:si>
  <x:si>
    <x:t>고객관심보장점수</x:t>
  </x:si>
  <x:si>
    <x:t>성별</x:t>
  </x:si>
  <x:si>
    <x:t>전기납</x:t>
  </x:si>
  <x:si>
    <x:t>보장</x:t>
  </x:si>
  <x:si>
    <x:t>당뇨</x:t>
  </x:si>
  <x:si>
    <x:t>우체국</x:t>
  </x:si>
  <x:si>
    <x:t>간병</x:t>
  </x:si>
  <x:si>
    <x:t>뇌</x:t>
  </x:si>
  <x:si>
    <x:t>정기납</x:t>
  </x:si>
  <x:si>
    <x:t>N</x:t>
  </x:si>
  <x:si>
    <x:t>정기</x:t>
  </x:si>
  <x:si>
    <x:t>Y/N</x:t>
  </x:si>
  <x:si>
    <x:t>출처</x:t>
  </x:si>
  <x:si>
    <x:t>저축</x:t>
  </x:si>
  <x:si>
    <x:t>확정형</x:t>
  </x:si>
  <x:si>
    <x:t>상품명</x:t>
  </x:si>
  <x:si>
    <x:t>나이</x:t>
  </x:si>
  <x:si>
    <x:t>제외</x:t>
  </x:si>
  <x:si>
    <x:t>연금형</x:t>
  </x:si>
  <x:si>
    <x:t>전연령</x:t>
  </x:si>
  <x:si>
    <x:t>없음</x:t>
  </x:si>
  <x:si>
    <x:t>보험사</x:t>
  </x:si>
  <x:si>
    <x:t>총점</x:t>
  </x:si>
  <x:si>
    <x:t>사망</x:t>
  </x:si>
  <x:si>
    <x:t>암보장</x:t>
  </x:si>
  <x:si>
    <x:t>특약</x:t>
  </x:si>
  <x:si>
    <x:t>실손</x:t>
  </x:si>
  <x:si>
    <x:t>종신</x:t>
  </x:si>
  <x:si>
    <x:t>유병자</x:t>
  </x:si>
  <x:si>
    <x:t>치아</x:t>
  </x:si>
  <x:si>
    <x:t>건강</x:t>
  </x:si>
  <x:si>
    <x:t>연금</x:t>
  </x:si>
  <x:si>
    <x:t>상해</x:t>
  </x:si>
  <x:si>
    <x:t>심장</x:t>
  </x:si>
  <x:si>
    <x:t>Y</x:t>
  </x:si>
  <x:si>
    <x:t>90일</x:t>
  </x:si>
  <x:si>
    <x:t>1년</x:t>
  </x:si>
  <x:si>
    <x:t>가성비</x:t>
  </x:si>
  <x:si>
    <x:t>어린이</x:t>
  </x:si>
  <x:si>
    <x:t>갱신형</x:t>
  </x:si>
  <x:si>
    <x:t>암</x:t>
  </x:si>
  <x:si>
    <x:t>남/여</x:t>
  </x:si>
  <x:si>
    <x:t>뇌보장</x:t>
  </x:si>
  <x:si>
    <x:t>70만기</x:t>
  </x:si>
  <x:si>
    <x:t>P002</x:t>
  </x:si>
  <x:si>
    <x:t>가입최소나이</x:t>
  </x:si>
  <x:si>
    <x:t>현재보험</x:t>
  </x:si>
  <x:si>
    <x:t>P정기01</x:t>
  </x:si>
  <x:si>
    <x:t>P028</x:t>
  </x:si>
  <x:si>
    <x:t>P004</x:t>
  </x:si>
  <x:si>
    <x:t>P005</x:t>
  </x:si>
  <x:si>
    <x:t>1년갱신</x:t>
  </x:si>
  <x:si>
    <x:t>P012</x:t>
  </x:si>
  <x:si>
    <x:t>5~30년납</x:t>
  </x:si>
  <x:si>
    <x:t>보험목적점수</x:t>
  </x:si>
  <x:si>
    <x:t>최종점수</x:t>
  </x:si>
  <x:si>
    <x:t>추천순위</x:t>
  </x:si>
  <x:si>
    <x:t>0~80세</x:t>
  </x:si>
  <x:si>
    <x:t>20년 갱신형</x:t>
  </x:si>
  <x:si>
    <x:t>보장점수</x:t>
  </x:si>
  <x:si>
    <x:t>P장애암01</x:t>
  </x:si>
  <x:si>
    <x:t>P연금02</x:t>
  </x:si>
  <x:si>
    <x:t>10년만기</x:t>
  </x:si>
  <x:si>
    <x:t>보험목적</x:t>
  </x:si>
  <x:si>
    <x:t>가입최대나이</x:t>
  </x:si>
  <x:si>
    <x:t>상품ID</x:t>
  </x:si>
  <x:si>
    <x:t>일시납/정기납</x:t>
  </x:si>
  <x:si>
    <x:t>P장애상해01</x:t>
  </x:si>
  <x:si>
    <x:t>건강보장</x:t>
  </x:si>
  <x:si>
    <x:t>걱정질병</x:t>
  </x:si>
  <x:si>
    <x:t>P031</x:t>
  </x:si>
  <x:si>
    <x:t>정기보험</x:t>
  </x:si>
  <x:si>
    <x:t>P024</x:t>
  </x:si>
  <x:si>
    <x:t>100만기</x:t>
  </x:si>
  <x:si>
    <x:t>10~30년납</x:t>
  </x:si>
  <x:si>
    <x:t>61~90세</x:t>
  </x:si>
  <x:si>
    <x:t>면책기간</x:t>
  </x:si>
  <x:si>
    <x:t>P025</x:t>
  </x:si>
  <x:si>
    <x:t>중도해지 손실</x:t>
  </x:si>
  <x:si>
    <x:t>P001</x:t>
  </x:si>
  <x:si>
    <x:t>가성비점수</x:t>
  </x:si>
  <x:si>
    <x:t>입원/수술</x:t>
  </x:si>
  <x:si>
    <x:t>일부 감액</x:t>
  </x:si>
  <x:si>
    <x:t>P029</x:t>
  </x:si>
  <x:si>
    <x:t>건강보험</x:t>
  </x:si>
  <x:si>
    <x:t>주의사항</x:t>
  </x:si>
  <x:si>
    <x:t>심장보장</x:t>
  </x:si>
  <x:si>
    <x:t>금리연동형</x:t>
  </x:si>
  <x:si>
    <x:t>초기보장 약함</x:t>
  </x:si>
  <x:si>
    <x:t>P당뇨01</x:t>
  </x:si>
  <x:si>
    <x:t>15년갱신</x:t>
  </x:si>
  <x:si>
    <x:t>장애인보너스</x:t>
  </x:si>
  <x:si>
    <x:t>P008</x:t>
  </x:si>
  <x:si>
    <x:t>P013</x:t>
  </x:si>
  <x:si>
    <x:t>납입기간</x:t>
  </x:si>
  <x:si>
    <x:t>P030</x:t>
  </x:si>
  <x:si>
    <x:t>P장애연금01</x:t>
  </x:si>
  <x:si>
    <x:t>P014</x:t>
  </x:si>
  <x:si>
    <x:t>30~80세</x:t>
  </x:si>
  <x:si>
    <x:t>P종신02</x:t>
  </x:si>
  <x:si>
    <x:t>재해/상해</x:t>
  </x:si>
  <x:si>
    <x:t>P실손01</x:t>
  </x:si>
  <x:si>
    <x:t>0~75세</x:t>
  </x:si>
  <x:si>
    <x:t>장애인 전용</x:t>
  </x:si>
  <x:si>
    <x:t>P종신01</x:t>
  </x:si>
  <x:si>
    <x:t>추천제외여부</x:t>
  </x:si>
  <x:si>
    <x:t>0세~가능</x:t>
  </x:si>
  <x:si>
    <x:t>P3대01</x:t>
  </x:si>
  <x:si>
    <x:t>건강상태</x:t>
  </x:si>
  <x:si>
    <x:t>P017</x:t>
  </x:si>
  <x:si>
    <x:t>당뇨보너스</x:t>
  </x:si>
  <x:si>
    <x:t>P010</x:t>
  </x:si>
  <x:si>
    <x:t>10년 갱신형</x:t>
  </x:si>
  <x:si>
    <x:t>P암01</x:t>
  </x:si>
  <x:si>
    <x:t>나이점수</x:t>
  </x:si>
  <x:si>
    <x:t>P간편01</x:t>
  </x:si>
  <x:si>
    <x:t>P자녀01</x:t>
  </x:si>
  <x:si>
    <x:t>상품요약서</x:t>
  </x:si>
  <x:si>
    <x:t>P016</x:t>
  </x:si>
  <x:si>
    <x:t>상품성격</x:t>
  </x:si>
  <x:si>
    <x:t>P실손02</x:t>
  </x:si>
  <x:si>
    <x:t>P020</x:t>
  </x:si>
  <x:si>
    <x:t>P026</x:t>
  </x:si>
  <x:si>
    <x:t>15~65세</x:t>
  </x:si>
  <x:si>
    <x:t>90만기</x:t>
  </x:si>
  <x:si>
    <x:t>20~60세</x:t>
  </x:si>
  <x:si>
    <x:t>치매/간병</x:t>
  </x:si>
  <x:si>
    <x:t>P연금03</x:t>
  </x:si>
  <x:si>
    <x:t>P015</x:t>
  </x:si>
  <x:si>
    <x:t>상해보험</x:t>
  </x:si>
  <x:si>
    <x:t>종신보험</x:t>
  </x:si>
  <x:si>
    <x:t>P019</x:t>
  </x:si>
  <x:si>
    <x:t>P003</x:t>
  </x:si>
  <x:si>
    <x:t>약관참조</x:t>
  </x:si>
  <x:si>
    <x:t>추천대상분류</x:t>
  </x:si>
  <x:si>
    <x:t>갱신형 구조</x:t>
  </x:si>
  <x:si>
    <x:t>P011</x:t>
  </x:si>
  <x:si>
    <x:t>1~2년 감액</x:t>
  </x:si>
  <x:si>
    <x:t>P교통01</x:t>
  </x:si>
  <x:si>
    <x:t>비갱신/혼합</x:t>
  </x:si>
  <x:si>
    <x:t>P007</x:t>
  </x:si>
  <x:si>
    <x:t>P저축01</x:t>
  </x:si>
  <x:si>
    <x:t>추천포인트</x:t>
  </x:si>
  <x:si>
    <x:t>치매 종합보장</x:t>
  </x:si>
  <x:si>
    <x:t>P건강325</x:t>
  </x:si>
  <x:si>
    <x:t>만기환급형</x:t>
  </x:si>
  <x:si>
    <x:t>태아~어린이</x:t>
  </x:si>
  <x:si>
    <x:t>Y/특약/N</x:t>
  </x:si>
  <x:si>
    <x:t>비갱신형</x:t>
  </x:si>
  <x:si>
    <x:t>가입조건</x:t>
  </x:si>
  <x:si>
    <x:t>20년갱신</x:t>
  </x:si>
  <x:si>
    <x:t>보험기간</x:t>
  </x:si>
  <x:si>
    <x:t>0~70세</x:t>
  </x:si>
  <x:si>
    <x:t>비갱신형 중심</x:t>
  </x:si>
  <x:si>
    <x:t>저축보험</x:t>
  </x:si>
  <x:si>
    <x:t>30~75세</x:t>
  </x:si>
  <x:si>
    <x:t>갱신여부</x:t>
  </x:si>
  <x:si>
    <x:t>암 90일</x:t>
  </x:si>
  <x:si>
    <x:t>장애여부</x:t>
  </x:si>
  <x:si>
    <x:t>재해장해</x:t>
  </x:si>
  <x:si>
    <x:t>암우선점수</x:t>
  </x:si>
  <x:si>
    <x:t>90~100세</x:t>
  </x:si>
  <x:si>
    <x:t>P022</x:t>
  </x:si>
  <x:si>
    <x:t>P장애01</x:t>
  </x:si>
  <x:si>
    <x:t>5~90세</x:t>
  </x:si>
  <x:si>
    <x:t>주요보장</x:t>
  </x:si>
  <x:si>
    <x:t>P치아01</x:t>
  </x:si>
  <x:si>
    <x:t>P뇌심01</x:t>
  </x:si>
  <x:si>
    <x:t>P018</x:t>
  </x:si>
  <x:si>
    <x:t>P건강01</x:t>
  </x:si>
  <x:si>
    <x:t>15~70세</x:t>
  </x:si>
  <x:si>
    <x:t>사망보장</x:t>
  </x:si>
  <x:si>
    <x:t>감액기간</x:t>
  </x:si>
  <x:si>
    <x:t>P021</x:t>
  </x:si>
  <x:si>
    <x:t>P023</x:t>
  </x:si>
  <x:si>
    <x:t>P027</x:t>
  </x:si>
  <x:si>
    <x:t>입력기준표</x:t>
  </x:si>
  <x:si>
    <x:t>P009</x:t>
  </x:si>
  <x:si>
    <x:t>실비/없음</x:t>
  </x:si>
  <x:si>
    <x:t>P간병01</x:t>
  </x:si>
  <x:si>
    <x:t>P건강02</x:t>
  </x:si>
  <x:si>
    <x:t>해당없음</x:t>
  </x:si>
  <x:si>
    <x:t>P006</x:t>
  </x:si>
  <x:si>
    <x:t>10년납</x:t>
  </x:si>
  <x:si>
    <x:t>15~80세</x:t>
  </x:si>
  <x:si>
    <x:t>보험종류</x:t>
  </x:si>
  <x:si>
    <x:t>P건강355</x:t>
  </x:si>
  <x:si>
    <x:t>상품타입점수</x:t>
  </x:si>
  <x:si>
    <x:t>P연금01</x:t>
  </x:si>
  <x:si>
    <x:t>0세~연금개시전</x:t>
  </x:si>
  <x:si>
    <x:t>종신/정기/건강</x:t>
  </x:si>
  <x:si>
    <x:t>(연령 상품별 상이)</x:t>
  </x:si>
  <x:si>
    <x:t>10년만기(갱신)</x:t>
  </x:si>
  <x:si>
    <x:t>10~20년만기</x:t>
  </x:si>
  <x:si>
    <x:t>보장 기능 약함</x:t>
  </x:si>
  <x:si>
    <x:t>중도해지시 과세</x:t>
  </x:si>
  <x:si>
    <x:t>비과세 + 자금운용</x:t>
  </x:si>
  <x:si>
    <x:t>비갱신 + 특약 갱신</x:t>
  </x:si>
  <x:si>
    <x:t>지정대리청구 특약</x:t>
  </x:si>
  <x:si>
    <x:t>뇌·심혈관 진단 + 수술 + 입원 + 재활 전단계 보장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</x:si>
</x:sst>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 wrapText="1"/>
        </x:xf>
      </mc:Fallback>
    </mc:AlternateContent>
    <x:xf numFmtId="0" fontId="0" fillId="2" borderId="0" xfId="0" applyFill="1">
      <x:alignment horizontal="general" vertical="center"/>
    </x:xf>
    <x:xf numFmtId="0" fontId="0" fillId="2" borderId="0" xfId="0" applyFill="1" applyAlignment="1">
      <x:alignment horizontal="general" vertical="center" wrapText="1"/>
    </x:xf>
    <x:xf numFmtId="0" fontId="0" fillId="0" borderId="1" xfId="0" applyBorder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48"/>
  <x:sheetViews>
    <x:sheetView topLeftCell="A4" zoomScaleNormal="100" zoomScaleSheetLayoutView="75" workbookViewId="0">
      <x:pane xSplit="2" ySplit="0" topLeftCell="C4" activePane="topRight" state="frozen"/>
      <x:selection pane="topRight" activeCell="F32" activeCellId="0" sqref="F32:F32"/>
    </x:sheetView>
  </x:sheetViews>
  <x:sheetFormatPr defaultColWidth="9.00390625" defaultRowHeight="16.399999999999999"/>
  <x:cols>
    <x:col min="2" max="2" width="27.96484375" style="8" bestFit="1" customWidth="1"/>
    <x:col min="4" max="4" width="11" style="8" customWidth="1"/>
    <x:col min="6" max="6" width="12.52734375" style="8" bestFit="1" customWidth="1"/>
    <x:col min="7" max="7" width="15.25" style="8" customWidth="1"/>
    <x:col min="14" max="14" width="12.52734375" style="5" bestFit="1" customWidth="1"/>
    <x:col min="15" max="15" width="9.00390625" style="5" customWidth="1"/>
    <x:col min="16" max="16" width="9.00390625" style="1" bestFit="1" customWidth="1"/>
    <x:col min="17" max="17" width="9.00390625" style="7" bestFit="1" customWidth="1"/>
    <x:col min="18" max="18" width="13.875" style="7" customWidth="1"/>
    <x:col min="19" max="19" width="13.875" style="2" customWidth="1"/>
    <x:col min="20" max="21" width="9.00390625" style="5" bestFit="1" customWidth="1"/>
    <x:col min="22" max="22" width="12.3984375" style="5" bestFit="1" customWidth="1"/>
    <x:col min="23" max="23" width="16.1953125" style="5" bestFit="1" customWidth="1"/>
    <x:col min="24" max="24" width="9.00390625" style="7" bestFit="1" customWidth="1"/>
    <x:col min="25" max="25" width="13.921875" style="7" bestFit="1" customWidth="1"/>
    <x:col min="26" max="26" width="9.00390625" style="4" bestFit="1" customWidth="1"/>
    <x:col min="27" max="27" width="9.00390625" style="2" bestFit="1" customWidth="1"/>
  </x:cols>
  <x:sheetData>
    <x:row r="1" spans="1:27" ht="32.75">
      <x:c r="A1" s="10" t="s">
        <x:v>251</x:v>
      </x:c>
      <x:c r="B1" s="10" t="s">
        <x:v>201</x:v>
      </x:c>
      <x:c r="C1" s="10" t="s">
        <x:v>207</x:v>
      </x:c>
      <x:c r="D1" s="10" t="s">
        <x:v>371</x:v>
      </x:c>
      <x:c r="E1" s="10" t="s">
        <x:v>231</x:v>
      </x:c>
      <x:c r="F1" s="10" t="s">
        <x:v>250</x:v>
      </x:c>
      <x:c r="G1" s="10" t="s">
        <x:v>337</x:v>
      </x:c>
      <x:c r="H1" s="10" t="s">
        <x:v>280</x:v>
      </x:c>
      <x:c r="I1" s="10" t="s">
        <x:v>357</x:v>
      </x:c>
      <x:c r="J1" s="10" t="s">
        <x:v>210</x:v>
      </x:c>
      <x:c r="K1" s="10" t="s">
        <x:v>228</x:v>
      </x:c>
      <x:c r="L1" s="10" t="s">
        <x:v>272</x:v>
      </x:c>
      <x:c r="M1" s="10" t="s">
        <x:v>305</x:v>
      </x:c>
      <x:c r="N1" s="10" t="s">
        <x:v>320</x:v>
      </x:c>
      <x:c r="O1" s="10" t="s">
        <x:v>291</x:v>
      </x:c>
      <x:c r="P1" s="10" t="s">
        <x:v>300</x:v>
      </x:c>
      <x:c r="Q1" s="10" t="s">
        <x:v>245</x:v>
      </x:c>
      <x:c r="R1" s="10" t="s">
        <x:v>373</x:v>
      </x:c>
      <x:c r="S1" s="10" t="s">
        <x:v>208</x:v>
      </x:c>
      <x:c r="T1" s="5" t="s">
        <x:v>266</x:v>
      </x:c>
      <x:c r="U1" s="5" t="s">
        <x:v>346</x:v>
      </x:c>
      <x:c r="V1" s="5" t="s">
        <x:v>240</x:v>
      </x:c>
      <x:c r="W1" s="5" t="s">
        <x:v>186</x:v>
      </x:c>
      <x:c r="X1" s="7" t="s">
        <x:v>241</x:v>
      </x:c>
      <x:c r="Y1" s="7" t="s">
        <x:v>242</x:v>
      </x:c>
      <x:c r="Z1" s="4" t="s">
        <x:v>296</x:v>
      </x:c>
      <x:c r="AA1" s="2" t="s">
        <x:v>277</x:v>
      </x:c>
    </x:row>
    <x:row r="2" spans="1:27">
      <x:c r="A2" s="9" t="s">
        <x:v>265</x:v>
      </x:c>
      <x:c r="B2" s="9" t="s">
        <x:v>98</x:v>
      </x:c>
      <x:c r="C2" s="9" t="s">
        <x:v>191</x:v>
      </x:c>
      <x:c r="D2" s="9" t="s">
        <x:v>316</x:v>
      </x:c>
      <x:c r="E2" s="9">
        <x:v>15</x:v>
      </x:c>
      <x:c r="F2" s="9">
        <x:v>70</x:v>
      </x:c>
      <x:c r="G2" s="9" t="s">
        <x:v>213</x:v>
      </x:c>
      <x:c r="H2" s="9" t="s">
        <x:v>239</x:v>
      </x:c>
      <x:c r="I2" s="9" t="s">
        <x:v>220</x:v>
      </x:c>
      <x:c r="J2" s="9" t="s">
        <x:v>220</x:v>
      </x:c>
      <x:c r="K2" s="9" t="s">
        <x:v>220</x:v>
      </x:c>
      <x:c r="L2" s="9" t="s">
        <x:v>220</x:v>
      </x:c>
      <x:c r="M2" s="9" t="s">
        <x:v>213</x:v>
      </x:c>
      <x:c r="N2" s="9" t="s">
        <x:v>213</x:v>
      </x:c>
      <x:c r="O2" s="9" t="str">
        <x:f>IF(OR($D$35&lt;E2,$D$35&gt;F2,AND($D$41="N",ISNUMBER(SEARCH("어깨동무",B2))),AND($D$35&lt;61,ISNUMBER(SEARCH("노후실손",B2))),AND($D$35&gt;=61,ISNUMBER(SEARCH("급여실손",B2))),AND($D$35&gt;19,ISNUMBER(SEARCH("자녀",B2)))),"Y","N")</x:f>
        <x:v>N</x:v>
      </x:c>
      <x:c r="P2" s="7">
        <x:f>IF(O2="Y",-999,20)</x:f>
        <x:v>20</x:v>
      </x:c>
      <x:c r="Q2" s="7">
        <x:f>IF(O2="Y",-999,IF($D$40="암",IF(J2="Y",40,IF(J2="특약",20,-20)),IF($D$40="뇌",IF(K2="Y",40,IF(K2="특약",20,-20)),IF($D$40="심장",IF(L2="Y",40,IF(L2="특약",20,-20)),IF($D$40="사망",IF(I2="Y",40,-20),IF($D$40="당뇨",IF(ISNUMBER(SEARCH("당뇨",B2)),50,-20),IF($D$40="치매/간병",IF(OR(ISNUMBER(SEARCH("치매",B2)),ISNUMBER(SEARCH("간병",B2)),N2="간병"),50,-20),IF($D$40="치아",IF(OR(ISNUMBER(SEARCH("치아",B2)),N2="치아"),50,-20),IF($D$40="재해/상해",IF(OR(ISNUMBER(SEARCH("상해",B2)),ISNUMBER(SEARCH("안전벨트",B2)),N2="상해"),50,-20),IF($D$40="입원/수술",IF(OR(N2="건강보장",N2="실손",ISNUMBER(SEARCH("입원",B2)),ISNUMBER(SEARCH("수술",B2))),30,-10),0))))))))))</x:f>
        <x:v>40</x:v>
      </x:c>
      <x:c r="R2" s="9">
        <x:f>IF(O2="Y",-999,IF($D$39="보장",IF(OR(N2="건강보장",N2="간병",N2="실손",N2="상해",N2="치아",N2="암"),30,IF(N2="종신",15,-10)),IF($D$39="가성비",IF(OR(N2="정기",N2="상해",N2="실손",N2="치아",N2="암"),30,IF(N2="건강보장",20,-10)),IF($D$39="유병자",IF(OR(ISNUMBER(SEARCH("간편",B2)),N2="간병",N2="실손"),40,-10),IF($D$39="연금",IF(OR(N2="연금",ISNUMBER(SEARCH("연금",B2))),50,-30),IF($D$39="저축",IF(OR(N2="저축",ISNUMBER(SEARCH("적립",B2)),ISNUMBER(SEARCH("저축",B2))),50,-30),0))))))</x:f>
        <x:v>-10</x:v>
      </x:c>
      <x:c r="S2" s="9">
        <x:f>SUM(P2:R2)</x:f>
        <x:v>50</x:v>
      </x:c>
      <x:c r="T2" s="5">
        <x:f>IF(O2="Y",0,IF($D$39="가성비",IF(OR(N2="정기",N2="건강보장",N2="실손",N2="간병"),30,10),0))</x:f>
        <x:v>10</x:v>
      </x:c>
      <x:c r="U2" s="5">
        <x:f>IF(J2="Y",30,IF(J2="특약",10,0))</x:f>
        <x:v>30</x:v>
      </x:c>
      <x:c r="V2" s="5">
        <x:f>IF(O2="Y",0,IF($D$39="보장",IF(OR(N2="건강보장",N2="간병",N2="실손"),30,10),IF($D$39="연금",IF(N2="연금",50,-10),IF($D$39="저축",IF(N2="저축",50,-10),0))))</x:f>
        <x:v>0</x:v>
      </x:c>
      <x:c r="W2" s="5">
        <x:f>IF(O2="Y",0,IF($D$40="암",IF(J2="Y",20,IF(J2="특약",10,0)),IF($D$40="뇌",IF(K2="Y",20,IF(K2="특약",10,0)),IF($D$40="심장",IF(L2="Y",20,IF(L2="특약",10,0)),IF($D$40="사망",IF(I2="Y",20,0),IF($D$40="치매/간병",IF(OR(N2="간병",ISNUMBER(SEARCH("치매",B2))),20,0),IF($D$40="치아",IF(N2="치아",20,0),IF($D$40="재해/상해",IF(N2="상해",20,0),0))))))))</x:f>
        <x:v>20</x:v>
      </x:c>
      <x:c r="X2" s="7">
        <x:f>IF(O2="Y",-999,P2+Q2+R2+T2+U2+V2+W2+Z2+AA2)</x:f>
        <x:v>110</x:v>
      </x:c>
      <x:c r="Y2" s="7">
        <x:f>IF(O2="Y","제외",1+COUNTIFS($O$2:$O$32,"N",$X$2:$X$32,"&gt;"&amp;X2))</x:f>
        <x:v>9</x:v>
      </x:c>
      <x:c r="Z2" s="4">
        <x:f>IF(O2="Y",0,IF($D$40="당뇨",IF(ISNUMBER(SEARCH("당뇨",B2)),50,0),0))</x:f>
        <x:v>0</x:v>
      </x:c>
      <x:c r="AA2" s="2">
        <x:f>IF(O2="Y",0,IF($D$41="Y",IF(ISNUMBER(SEARCH("어깨동무",B2)),80,0),0))</x:f>
        <x:v>0</x:v>
      </x:c>
    </x:row>
    <x:row r="3" spans="1:27">
      <x:c r="A3" s="9" t="s">
        <x:v>230</x:v>
      </x:c>
      <x:c r="B3" s="9" t="s">
        <x:v>33</x:v>
      </x:c>
      <x:c r="C3" s="9" t="s">
        <x:v>191</x:v>
      </x:c>
      <x:c r="D3" s="9" t="s">
        <x:v>257</x:v>
      </x:c>
      <x:c r="E3" s="9">
        <x:v>15</x:v>
      </x:c>
      <x:c r="F3" s="9">
        <x:v>70</x:v>
      </x:c>
      <x:c r="G3" s="9" t="s">
        <x:v>229</x:v>
      </x:c>
      <x:c r="H3" s="7" t="s">
        <x:v>369</x:v>
      </x:c>
      <x:c r="I3" s="7" t="s">
        <x:v>220</x:v>
      </x:c>
      <x:c r="J3" s="7" t="s">
        <x:v>211</x:v>
      </x:c>
      <x:c r="K3" s="7" t="s">
        <x:v>211</x:v>
      </x:c>
      <x:c r="L3" s="7" t="s">
        <x:v>211</x:v>
      </x:c>
      <x:c r="M3" s="7" t="s">
        <x:v>196</x:v>
      </x:c>
      <x:c r="N3" s="9" t="s">
        <x:v>196</x:v>
      </x:c>
      <x:c r="O3" s="9" t="str">
        <x:f t="shared" ref="O3:O32" si="0">IF(OR($D$35&lt;E3,$D$35&gt;F3,AND($D$41="N",ISNUMBER(SEARCH("어깨동무",B3))),AND($D$35&lt;61,ISNUMBER(SEARCH("노후실손",B3))),AND($D$35&gt;=61,ISNUMBER(SEARCH("급여실손",B3))),AND($D$35&gt;19,ISNUMBER(SEARCH("자녀",B3)))),"Y","N")</x:f>
        <x:v>N</x:v>
      </x:c>
      <x:c r="P3" s="7">
        <x:f t="shared" ref="P3:P32" si="1">IF(O3="Y",-999,20)</x:f>
        <x:v>20</x:v>
      </x:c>
      <x:c r="Q3" s="7">
        <x:f t="shared" ref="Q3:Q32" si="2">IF(O3="Y",-999,IF($D$40="암",IF(J3="Y",40,IF(J3="특약",20,-20)),IF($D$40="뇌",IF(K3="Y",40,IF(K3="특약",20,-20)),IF($D$40="심장",IF(L3="Y",40,IF(L3="특약",20,-20)),IF($D$40="사망",IF(I3="Y",40,-20),IF($D$40="당뇨",IF(ISNUMBER(SEARCH("당뇨",B3)),50,-20),IF($D$40="치매/간병",IF(OR(ISNUMBER(SEARCH("치매",B3)),ISNUMBER(SEARCH("간병",B3)),N3="간병"),50,-20),IF($D$40="치아",IF(OR(ISNUMBER(SEARCH("치아",B3)),N3="치아"),50,-20),IF($D$40="재해/상해",IF(OR(ISNUMBER(SEARCH("상해",B3)),ISNUMBER(SEARCH("안전벨트",B3)),N3="상해"),50,-20),IF($D$40="입원/수술",IF(OR(N3="건강보장",N3="실손",ISNUMBER(SEARCH("입원",B3)),ISNUMBER(SEARCH("수술",B3))),30,-10),0))))))))))</x:f>
        <x:v>20</x:v>
      </x:c>
      <x:c r="R3" s="9">
        <x:f t="shared" ref="R3:R32" si="3">IF(O3="Y",-999,IF($D$39="보장",IF(OR(N3="건강보장",N3="간병",N3="실손",N3="상해",N3="치아",N3="암"),30,IF(N3="종신",15,-10)),IF($D$39="가성비",IF(OR(N3="정기",N3="상해",N3="실손",N3="치아",N3="암"),30,IF(N3="건강보장",20,-10)),IF($D$39="유병자",IF(OR(ISNUMBER(SEARCH("간편",B3)),N3="간병",N3="실손"),40,-10),IF($D$39="연금",IF(OR(N3="연금",ISNUMBER(SEARCH("연금",B3))),50,-30),IF($D$39="저축",IF(OR(N3="저축",ISNUMBER(SEARCH("적립",B3)),ISNUMBER(SEARCH("저축",B3))),50,-30),0))))))</x:f>
        <x:v>30</x:v>
      </x:c>
      <x:c r="S3" s="9">
        <x:f t="shared" ref="S3:S32" si="4">SUM(P3:R3)</x:f>
        <x:v>70</x:v>
      </x:c>
      <x:c r="T3" s="5">
        <x:f t="shared" ref="T3:T32" si="5">IF(O3="Y",0,IF($D$39="가성비",IF(OR(N3="정기",N3="건강보장",N3="실손",N3="간병"),30,10),0))</x:f>
        <x:v>30</x:v>
      </x:c>
      <x:c r="U3" s="5">
        <x:f t="shared" ref="U3:U32" si="6">IF(J3="Y",30,IF(J3="특약",10,0))</x:f>
        <x:v>10</x:v>
      </x:c>
      <x:c r="V3" s="5">
        <x:f t="shared" ref="V3:V32" si="7">IF(O3="Y",0,IF($D$39="보장",IF(OR(N3="건강보장",N3="간병",N3="실손"),30,10),IF($D$39="연금",IF(N3="연금",50,-10),IF($D$39="저축",IF(N3="저축",50,-10),0))))</x:f>
        <x:v>0</x:v>
      </x:c>
      <x:c r="W3" s="5">
        <x:f t="shared" ref="W3:W32" si="8">IF(O3="Y",0,IF($D$40="암",IF(J3="Y",20,IF(J3="특약",10,0)),IF($D$40="뇌",IF(K3="Y",20,IF(K3="특약",10,0)),IF($D$40="심장",IF(L3="Y",20,IF(L3="특약",10,0)),IF($D$40="사망",IF(I3="Y",20,0),IF($D$40="치매/간병",IF(OR(N3="간병",ISNUMBER(SEARCH("치매",B3))),20,0),IF($D$40="치아",IF(N3="치아",20,0),IF($D$40="재해/상해",IF(N3="상해",20,0),0))))))))</x:f>
        <x:v>10</x:v>
      </x:c>
      <x:c r="X3" s="7">
        <x:f t="shared" ref="X3:X32" si="9">IF(O3="Y",-999,P3+Q3+R3+T3+U3+V3+W3+Z3+AA3)</x:f>
        <x:v>120</x:v>
      </x:c>
      <x:c r="Y3" s="7">
        <x:f t="shared" ref="Y3:Y32" si="10">IF(O3="Y","제외",1+COUNTIFS($O$2:$O$32,"N",$X$2:$X$32,"&gt;"&amp;X3))</x:f>
        <x:v>7</x:v>
      </x:c>
      <x:c r="Z3" s="4">
        <x:f t="shared" ref="Z3:Z32" si="11">IF(O3="Y",0,IF($D$40="당뇨",IF(ISNUMBER(SEARCH("당뇨",B3)),50,0),0))</x:f>
        <x:v>0</x:v>
      </x:c>
      <x:c r="AA3" s="2">
        <x:f t="shared" ref="AA3:AA32" si="12">IF(O3="Y",0,IF($D$41="Y",IF(ISNUMBER(SEARCH("어깨동무",B3)),80,0),0))</x:f>
        <x:v>0</x:v>
      </x:c>
    </x:row>
    <x:row r="4" spans="1:27">
      <x:c r="A4" s="9" t="s">
        <x:v>318</x:v>
      </x:c>
      <x:c r="B4" s="8" t="s">
        <x:v>136</x:v>
      </x:c>
      <x:c r="C4" s="6" t="s">
        <x:v>191</x:v>
      </x:c>
      <x:c r="D4" s="8" t="s">
        <x:v>270</x:v>
      </x:c>
      <x:c r="E4" s="7">
        <x:v>0</x:v>
      </x:c>
      <x:c r="F4" s="8">
        <x:v>70</x:v>
      </x:c>
      <x:c r="G4" s="8" t="s">
        <x:v>174</x:v>
      </x:c>
      <x:c r="H4" s="7" t="s">
        <x:v>260</x:v>
      </x:c>
      <x:c r="I4" s="7" t="s">
        <x:v>195</x:v>
      </x:c>
      <x:c r="J4" s="7" t="s">
        <x:v>220</x:v>
      </x:c>
      <x:c r="K4" s="7" t="s">
        <x:v>220</x:v>
      </x:c>
      <x:c r="L4" s="7" t="s">
        <x:v>220</x:v>
      </x:c>
      <x:c r="M4" s="7" t="s">
        <x:v>216</x:v>
      </x:c>
      <x:c r="N4" s="9" t="s">
        <x:v>254</x:v>
      </x:c>
      <x:c r="O4" s="9" t="str">
        <x:f t="shared" si="0"/>
        <x:v>N</x:v>
      </x:c>
      <x:c r="P4" s="7">
        <x:f t="shared" si="1"/>
        <x:v>20</x:v>
      </x:c>
      <x:c r="Q4" s="7">
        <x:f t="shared" si="2"/>
        <x:v>40</x:v>
      </x:c>
      <x:c r="R4" s="9">
        <x:f t="shared" si="3"/>
        <x:v>20</x:v>
      </x:c>
      <x:c r="S4" s="9">
        <x:f t="shared" si="4"/>
        <x:v>80</x:v>
      </x:c>
      <x:c r="T4" s="5">
        <x:f t="shared" si="5"/>
        <x:v>30</x:v>
      </x:c>
      <x:c r="U4" s="5">
        <x:f t="shared" si="6"/>
        <x:v>30</x:v>
      </x:c>
      <x:c r="V4" s="5">
        <x:f t="shared" si="7"/>
        <x:v>0</x:v>
      </x:c>
      <x:c r="W4" s="5">
        <x:f t="shared" si="8"/>
        <x:v>20</x:v>
      </x:c>
      <x:c r="X4" s="7">
        <x:f t="shared" si="9"/>
        <x:v>160</x:v>
      </x:c>
      <x:c r="Y4" s="7">
        <x:f t="shared" si="10"/>
        <x:v>2</x:v>
      </x:c>
      <x:c r="Z4" s="4">
        <x:f t="shared" si="11"/>
        <x:v>0</x:v>
      </x:c>
      <x:c r="AA4" s="2">
        <x:f t="shared" si="12"/>
        <x:v>0</x:v>
      </x:c>
    </x:row>
    <x:row r="5" spans="1:27" s="7" customFormat="1">
      <x:c r="A5" s="9" t="s">
        <x:v>235</x:v>
      </x:c>
      <x:c r="B5" s="7" t="s">
        <x:v>54</x:v>
      </x:c>
      <x:c r="C5" s="6" t="s">
        <x:v>191</x:v>
      </x:c>
      <x:c r="D5" s="7" t="s">
        <x:v>270</x:v>
      </x:c>
      <x:c r="E5" s="7">
        <x:v>15</x:v>
      </x:c>
      <x:c r="F5" s="7">
        <x:v>70</x:v>
      </x:c>
      <x:c r="G5" s="7" t="s">
        <x:v>143</x:v>
      </x:c>
      <x:c r="H5" s="7" t="s">
        <x:v>260</x:v>
      </x:c>
      <x:c r="I5" s="7" t="s">
        <x:v>195</x:v>
      </x:c>
      <x:c r="J5" s="7" t="s">
        <x:v>195</x:v>
      </x:c>
      <x:c r="K5" s="7" t="s">
        <x:v>195</x:v>
      </x:c>
      <x:c r="L5" s="7" t="s">
        <x:v>195</x:v>
      </x:c>
      <x:c r="M5" s="7" t="s">
        <x:v>216</x:v>
      </x:c>
      <x:c r="N5" s="9" t="s">
        <x:v>192</x:v>
      </x:c>
      <x:c r="O5" s="9" t="str">
        <x:f t="shared" si="0"/>
        <x:v>N</x:v>
      </x:c>
      <x:c r="P5" s="7">
        <x:f t="shared" si="1"/>
        <x:v>20</x:v>
      </x:c>
      <x:c r="Q5" s="7">
        <x:f t="shared" si="2"/>
        <x:v>-20</x:v>
      </x:c>
      <x:c r="R5" s="9">
        <x:f t="shared" si="3"/>
        <x:v>-10</x:v>
      </x:c>
      <x:c r="S5" s="9">
        <x:f t="shared" si="4"/>
        <x:v>-10</x:v>
      </x:c>
      <x:c r="T5" s="5">
        <x:f t="shared" si="5"/>
        <x:v>30</x:v>
      </x:c>
      <x:c r="U5" s="5">
        <x:f t="shared" si="6"/>
        <x:v>0</x:v>
      </x:c>
      <x:c r="V5" s="5">
        <x:f t="shared" si="7"/>
        <x:v>0</x:v>
      </x:c>
      <x:c r="W5" s="5">
        <x:f t="shared" si="8"/>
        <x:v>0</x:v>
      </x:c>
      <x:c r="X5" s="7">
        <x:f t="shared" si="9"/>
        <x:v>20</x:v>
      </x:c>
      <x:c r="Y5" s="7">
        <x:f t="shared" si="10"/>
        <x:v>23</x:v>
      </x:c>
      <x:c r="Z5" s="4">
        <x:f t="shared" si="11"/>
        <x:v>0</x:v>
      </x:c>
      <x:c r="AA5" s="2">
        <x:f t="shared" si="12"/>
        <x:v>0</x:v>
      </x:c>
    </x:row>
    <x:row r="6" spans="1:27" s="7" customFormat="1">
      <x:c r="A6" s="9" t="s">
        <x:v>236</x:v>
      </x:c>
      <x:c r="B6" s="7" t="s">
        <x:v>120</x:v>
      </x:c>
      <x:c r="C6" s="6" t="s">
        <x:v>191</x:v>
      </x:c>
      <x:c r="D6" s="7" t="s">
        <x:v>270</x:v>
      </x:c>
      <x:c r="E6" s="7">
        <x:v>30</x:v>
      </x:c>
      <x:c r="F6" s="7">
        <x:v>80</x:v>
      </x:c>
      <x:c r="G6" s="7" t="s">
        <x:v>259</x:v>
      </x:c>
      <x:c r="H6" s="7" t="s">
        <x:v>188</x:v>
      </x:c>
      <x:c r="I6" s="7" t="s">
        <x:v>195</x:v>
      </x:c>
      <x:c r="J6" s="7" t="s">
        <x:v>211</x:v>
      </x:c>
      <x:c r="K6" s="7" t="s">
        <x:v>211</x:v>
      </x:c>
      <x:c r="L6" s="7" t="s">
        <x:v>211</x:v>
      </x:c>
      <x:c r="M6" s="7" t="s">
        <x:v>216</x:v>
      </x:c>
      <x:c r="N6" s="7" t="s">
        <x:v>254</x:v>
      </x:c>
      <x:c r="O6" s="9" t="str">
        <x:f t="shared" si="0"/>
        <x:v>N</x:v>
      </x:c>
      <x:c r="P6" s="7">
        <x:f t="shared" si="1"/>
        <x:v>20</x:v>
      </x:c>
      <x:c r="Q6" s="7">
        <x:f t="shared" si="2"/>
        <x:v>20</x:v>
      </x:c>
      <x:c r="R6" s="9">
        <x:f t="shared" si="3"/>
        <x:v>20</x:v>
      </x:c>
      <x:c r="S6" s="9">
        <x:f t="shared" si="4"/>
        <x:v>60</x:v>
      </x:c>
      <x:c r="T6" s="5">
        <x:f t="shared" si="5"/>
        <x:v>30</x:v>
      </x:c>
      <x:c r="U6" s="5">
        <x:f t="shared" si="6"/>
        <x:v>10</x:v>
      </x:c>
      <x:c r="V6" s="5">
        <x:f t="shared" si="7"/>
        <x:v>0</x:v>
      </x:c>
      <x:c r="W6" s="5">
        <x:f t="shared" si="8"/>
        <x:v>10</x:v>
      </x:c>
      <x:c r="X6" s="7">
        <x:f t="shared" si="9"/>
        <x:v>110</x:v>
      </x:c>
      <x:c r="Y6" s="7">
        <x:f t="shared" si="10"/>
        <x:v>9</x:v>
      </x:c>
      <x:c r="Z6" s="4">
        <x:f t="shared" si="11"/>
        <x:v>0</x:v>
      </x:c>
      <x:c r="AA6" s="2">
        <x:f t="shared" si="12"/>
        <x:v>0</x:v>
      </x:c>
    </x:row>
    <x:row r="7" spans="1:27" s="7" customFormat="1">
      <x:c r="A7" s="9" t="s">
        <x:v>368</x:v>
      </x:c>
      <x:c r="B7" s="7" t="s">
        <x:v>83</x:v>
      </x:c>
      <x:c r="C7" s="7" t="s">
        <x:v>191</x:v>
      </x:c>
      <x:c r="D7" s="7" t="s">
        <x:v>270</x:v>
      </x:c>
      <x:c r="E7" s="7">
        <x:v>30</x:v>
      </x:c>
      <x:c r="F7" s="7">
        <x:v>80</x:v>
      </x:c>
      <x:c r="G7" s="7" t="s">
        <x:v>259</x:v>
      </x:c>
      <x:c r="H7" s="7" t="s">
        <x:v>188</x:v>
      </x:c>
      <x:c r="I7" s="7" t="s">
        <x:v>195</x:v>
      </x:c>
      <x:c r="J7" s="7" t="s">
        <x:v>211</x:v>
      </x:c>
      <x:c r="K7" s="7" t="s">
        <x:v>211</x:v>
      </x:c>
      <x:c r="L7" s="7" t="s">
        <x:v>211</x:v>
      </x:c>
      <x:c r="M7" s="7" t="s">
        <x:v>216</x:v>
      </x:c>
      <x:c r="N7" s="9" t="s">
        <x:v>254</x:v>
      </x:c>
      <x:c r="O7" s="9" t="str">
        <x:f t="shared" si="0"/>
        <x:v>N</x:v>
      </x:c>
      <x:c r="P7" s="7">
        <x:f t="shared" si="1"/>
        <x:v>20</x:v>
      </x:c>
      <x:c r="Q7" s="7">
        <x:f t="shared" si="2"/>
        <x:v>20</x:v>
      </x:c>
      <x:c r="R7" s="9">
        <x:f t="shared" si="3"/>
        <x:v>20</x:v>
      </x:c>
      <x:c r="S7" s="9">
        <x:f t="shared" si="4"/>
        <x:v>60</x:v>
      </x:c>
      <x:c r="T7" s="5">
        <x:f t="shared" si="5"/>
        <x:v>30</x:v>
      </x:c>
      <x:c r="U7" s="5">
        <x:f t="shared" si="6"/>
        <x:v>10</x:v>
      </x:c>
      <x:c r="V7" s="5">
        <x:f t="shared" si="7"/>
        <x:v>0</x:v>
      </x:c>
      <x:c r="W7" s="5">
        <x:f t="shared" si="8"/>
        <x:v>10</x:v>
      </x:c>
      <x:c r="X7" s="7">
        <x:f t="shared" si="9"/>
        <x:v>110</x:v>
      </x:c>
      <x:c r="Y7" s="7">
        <x:f t="shared" si="10"/>
        <x:v>9</x:v>
      </x:c>
      <x:c r="Z7" s="4">
        <x:f t="shared" si="11"/>
        <x:v>0</x:v>
      </x:c>
      <x:c r="AA7" s="2">
        <x:f t="shared" si="12"/>
        <x:v>0</x:v>
      </x:c>
    </x:row>
    <x:row r="8" spans="1:27" s="7" customFormat="1">
      <x:c r="A8" s="9" t="s">
        <x:v>326</x:v>
      </x:c>
      <x:c r="B8" s="7" t="s">
        <x:v>118</x:v>
      </x:c>
      <x:c r="C8" s="7" t="s">
        <x:v>191</x:v>
      </x:c>
      <x:c r="D8" s="7" t="s">
        <x:v>270</x:v>
      </x:c>
      <x:c r="E8" s="7">
        <x:v>5</x:v>
      </x:c>
      <x:c r="F8" s="7">
        <x:v>90</x:v>
      </x:c>
      <x:c r="G8" s="7" t="s">
        <x:v>237</x:v>
      </x:c>
      <x:c r="H8" s="7" t="s">
        <x:v>188</x:v>
      </x:c>
      <x:c r="I8" s="7" t="s">
        <x:v>195</x:v>
      </x:c>
      <x:c r="J8" s="7" t="s">
        <x:v>195</x:v>
      </x:c>
      <x:c r="K8" s="7" t="s">
        <x:v>195</x:v>
      </x:c>
      <x:c r="L8" s="7" t="s">
        <x:v>195</x:v>
      </x:c>
      <x:c r="M8" s="7" t="s">
        <x:v>216</x:v>
      </x:c>
      <x:c r="N8" s="9" t="s">
        <x:v>212</x:v>
      </x:c>
      <x:c r="O8" s="9" t="str">
        <x:f t="shared" si="0"/>
        <x:v>N</x:v>
      </x:c>
      <x:c r="P8" s="7">
        <x:f t="shared" si="1"/>
        <x:v>20</x:v>
      </x:c>
      <x:c r="Q8" s="7">
        <x:f t="shared" si="2"/>
        <x:v>-20</x:v>
      </x:c>
      <x:c r="R8" s="9">
        <x:f t="shared" si="3"/>
        <x:v>30</x:v>
      </x:c>
      <x:c r="S8" s="9">
        <x:f t="shared" si="4"/>
        <x:v>30</x:v>
      </x:c>
      <x:c r="T8" s="5">
        <x:f t="shared" si="5"/>
        <x:v>30</x:v>
      </x:c>
      <x:c r="U8" s="5">
        <x:f t="shared" si="6"/>
        <x:v>0</x:v>
      </x:c>
      <x:c r="V8" s="5">
        <x:f t="shared" si="7"/>
        <x:v>0</x:v>
      </x:c>
      <x:c r="W8" s="5">
        <x:f t="shared" si="8"/>
        <x:v>0</x:v>
      </x:c>
      <x:c r="X8" s="7">
        <x:f t="shared" si="9"/>
        <x:v>60</x:v>
      </x:c>
      <x:c r="Y8" s="7">
        <x:f t="shared" si="10"/>
        <x:v>17</x:v>
      </x:c>
      <x:c r="Z8" s="4">
        <x:f t="shared" si="11"/>
        <x:v>0</x:v>
      </x:c>
      <x:c r="AA8" s="2">
        <x:f t="shared" si="12"/>
        <x:v>0</x:v>
      </x:c>
    </x:row>
    <x:row r="9" spans="1:27" s="7" customFormat="1">
      <x:c r="A9" s="9" t="s">
        <x:v>278</x:v>
      </x:c>
      <x:c r="B9" s="7" t="s">
        <x:v>113</x:v>
      </x:c>
      <x:c r="C9" s="7" t="s">
        <x:v>191</x:v>
      </x:c>
      <x:c r="D9" s="7" t="s">
        <x:v>340</x:v>
      </x:c>
      <x:c r="E9" s="7">
        <x:v>20</x:v>
      </x:c>
      <x:c r="F9" s="7">
        <x:v>70</x:v>
      </x:c>
      <x:c r="G9" s="7" t="s">
        <x:v>379</x:v>
      </x:c>
      <x:c r="H9" s="7" t="s">
        <x:v>188</x:v>
      </x:c>
      <x:c r="I9" s="7" t="s">
        <x:v>220</x:v>
      </x:c>
      <x:c r="J9" s="7" t="s">
        <x:v>195</x:v>
      </x:c>
      <x:c r="K9" s="7" t="s">
        <x:v>195</x:v>
      </x:c>
      <x:c r="L9" s="7" t="s">
        <x:v>195</x:v>
      </x:c>
      <x:c r="M9" s="7" t="s">
        <x:v>199</x:v>
      </x:c>
      <x:c r="N9" s="9" t="s">
        <x:v>199</x:v>
      </x:c>
      <x:c r="O9" s="9" t="str">
        <x:f t="shared" si="0"/>
        <x:v>N</x:v>
      </x:c>
      <x:c r="P9" s="7">
        <x:f t="shared" si="1"/>
        <x:v>20</x:v>
      </x:c>
      <x:c r="Q9" s="7">
        <x:f t="shared" si="2"/>
        <x:v>-20</x:v>
      </x:c>
      <x:c r="R9" s="9">
        <x:f t="shared" si="3"/>
        <x:v>-10</x:v>
      </x:c>
      <x:c r="S9" s="9">
        <x:f t="shared" si="4"/>
        <x:v>-10</x:v>
      </x:c>
      <x:c r="T9" s="5">
        <x:f t="shared" si="5"/>
        <x:v>10</x:v>
      </x:c>
      <x:c r="U9" s="5">
        <x:f t="shared" si="6"/>
        <x:v>0</x:v>
      </x:c>
      <x:c r="V9" s="5">
        <x:f t="shared" si="7"/>
        <x:v>0</x:v>
      </x:c>
      <x:c r="W9" s="5">
        <x:f t="shared" si="8"/>
        <x:v>0</x:v>
      </x:c>
      <x:c r="X9" s="7">
        <x:f t="shared" si="9"/>
        <x:v>0</x:v>
      </x:c>
      <x:c r="Y9" s="7">
        <x:f t="shared" si="10"/>
        <x:v>25</x:v>
      </x:c>
      <x:c r="Z9" s="4">
        <x:f t="shared" si="11"/>
        <x:v>0</x:v>
      </x:c>
      <x:c r="AA9" s="2">
        <x:f t="shared" si="12"/>
        <x:v>0</x:v>
      </x:c>
    </x:row>
    <x:row r="10" spans="1:27" s="7" customFormat="1">
      <x:c r="A10" s="9" t="s">
        <x:v>363</x:v>
      </x:c>
      <x:c r="B10" s="7" t="s">
        <x:v>38</x:v>
      </x:c>
      <x:c r="C10" s="7" t="s">
        <x:v>191</x:v>
      </x:c>
      <x:c r="D10" s="7" t="s">
        <x:v>270</x:v>
      </x:c>
      <x:c r="E10" s="7">
        <x:v>15</x:v>
      </x:c>
      <x:c r="F10" s="7">
        <x:v>70</x:v>
      </x:c>
      <x:c r="G10" s="7" t="s">
        <x:v>174</x:v>
      </x:c>
      <x:c r="H10" s="7" t="s">
        <x:v>260</x:v>
      </x:c>
      <x:c r="I10" s="7" t="s">
        <x:v>195</x:v>
      </x:c>
      <x:c r="J10" s="7" t="s">
        <x:v>195</x:v>
      </x:c>
      <x:c r="K10" s="7" t="s">
        <x:v>220</x:v>
      </x:c>
      <x:c r="L10" s="7" t="s">
        <x:v>220</x:v>
      </x:c>
      <x:c r="M10" s="7" t="s">
        <x:v>216</x:v>
      </x:c>
      <x:c r="N10" s="9" t="s">
        <x:v>254</x:v>
      </x:c>
      <x:c r="O10" s="9" t="str">
        <x:f t="shared" si="0"/>
        <x:v>N</x:v>
      </x:c>
      <x:c r="P10" s="7">
        <x:f t="shared" si="1"/>
        <x:v>20</x:v>
      </x:c>
      <x:c r="Q10" s="7">
        <x:f t="shared" si="2"/>
        <x:v>-20</x:v>
      </x:c>
      <x:c r="R10" s="9">
        <x:f t="shared" si="3"/>
        <x:v>20</x:v>
      </x:c>
      <x:c r="S10" s="9">
        <x:f t="shared" si="4"/>
        <x:v>20</x:v>
      </x:c>
      <x:c r="T10" s="5">
        <x:f t="shared" si="5"/>
        <x:v>30</x:v>
      </x:c>
      <x:c r="U10" s="5">
        <x:f t="shared" si="6"/>
        <x:v>0</x:v>
      </x:c>
      <x:c r="V10" s="5">
        <x:f t="shared" si="7"/>
        <x:v>0</x:v>
      </x:c>
      <x:c r="W10" s="5">
        <x:f t="shared" si="8"/>
        <x:v>0</x:v>
      </x:c>
      <x:c r="X10" s="7">
        <x:f t="shared" si="9"/>
        <x:v>50</x:v>
      </x:c>
      <x:c r="Y10" s="7">
        <x:f t="shared" si="10"/>
        <x:v>19</x:v>
      </x:c>
      <x:c r="Z10" s="4">
        <x:f t="shared" si="11"/>
        <x:v>0</x:v>
      </x:c>
      <x:c r="AA10" s="2">
        <x:f t="shared" si="12"/>
        <x:v>0</x:v>
      </x:c>
    </x:row>
    <x:row r="11" spans="1:27" s="11" customFormat="1">
      <x:c r="A11" s="12" t="s">
        <x:v>297</x:v>
      </x:c>
      <x:c r="B11" s="11" t="s">
        <x:v>36</x:v>
      </x:c>
      <x:c r="C11" s="11" t="s">
        <x:v>191</x:v>
      </x:c>
      <x:c r="D11" s="11" t="s">
        <x:v>270</x:v>
      </x:c>
      <x:c r="E11" s="11">
        <x:v>15</x:v>
      </x:c>
      <x:c r="F11" s="11">
        <x:v>65</x:v>
      </x:c>
      <x:c r="G11" s="11" t="s">
        <x:v>174</x:v>
      </x:c>
      <x:c r="H11" s="11" t="s">
        <x:v>260</x:v>
      </x:c>
      <x:c r="I11" s="11" t="s">
        <x:v>220</x:v>
      </x:c>
      <x:c r="J11" s="11" t="s">
        <x:v>211</x:v>
      </x:c>
      <x:c r="K11" s="11" t="s">
        <x:v>211</x:v>
      </x:c>
      <x:c r="L11" s="11" t="s">
        <x:v>211</x:v>
      </x:c>
      <x:c r="M11" s="11" t="s">
        <x:v>216</x:v>
      </x:c>
      <x:c r="N11" s="12" t="s">
        <x:v>254</x:v>
      </x:c>
      <x:c r="O11" s="9" t="str">
        <x:f t="shared" si="0"/>
        <x:v>N</x:v>
      </x:c>
      <x:c r="P11" s="7">
        <x:f t="shared" si="1"/>
        <x:v>20</x:v>
      </x:c>
      <x:c r="Q11" s="7">
        <x:f t="shared" si="2"/>
        <x:v>20</x:v>
      </x:c>
      <x:c r="R11" s="9">
        <x:f t="shared" si="3"/>
        <x:v>20</x:v>
      </x:c>
      <x:c r="S11" s="9">
        <x:f t="shared" si="4"/>
        <x:v>60</x:v>
      </x:c>
      <x:c r="T11" s="5">
        <x:f t="shared" si="5"/>
        <x:v>30</x:v>
      </x:c>
      <x:c r="U11" s="11">
        <x:f t="shared" si="6"/>
        <x:v>10</x:v>
      </x:c>
      <x:c r="V11" s="5">
        <x:f t="shared" si="7"/>
        <x:v>0</x:v>
      </x:c>
      <x:c r="W11" s="5">
        <x:f t="shared" si="8"/>
        <x:v>10</x:v>
      </x:c>
      <x:c r="X11" s="7">
        <x:f t="shared" si="9"/>
        <x:v>110</x:v>
      </x:c>
      <x:c r="Y11" s="7">
        <x:f t="shared" si="10"/>
        <x:v>9</x:v>
      </x:c>
      <x:c r="Z11" s="4">
        <x:f t="shared" si="11"/>
        <x:v>0</x:v>
      </x:c>
      <x:c r="AA11" s="2">
        <x:f t="shared" si="12"/>
        <x:v>0</x:v>
      </x:c>
    </x:row>
    <x:row r="12" spans="1:27" s="7" customFormat="1">
      <x:c r="A12" s="9" t="s">
        <x:v>322</x:v>
      </x:c>
      <x:c r="B12" s="7" t="s">
        <x:v>66</x:v>
      </x:c>
      <x:c r="C12" s="7" t="s">
        <x:v>191</x:v>
      </x:c>
      <x:c r="D12" s="7" t="s">
        <x:v>270</x:v>
      </x:c>
      <x:c r="E12" s="7">
        <x:v>15</x:v>
      </x:c>
      <x:c r="F12" s="7">
        <x:v>80</x:v>
      </x:c>
      <x:c r="G12" s="7" t="s">
        <x:v>276</x:v>
      </x:c>
      <x:c r="H12" s="7" t="s">
        <x:v>188</x:v>
      </x:c>
      <x:c r="I12" s="7" t="s">
        <x:v>195</x:v>
      </x:c>
      <x:c r="J12" s="7" t="s">
        <x:v>211</x:v>
      </x:c>
      <x:c r="K12" s="7" t="s">
        <x:v>211</x:v>
      </x:c>
      <x:c r="L12" s="7" t="s">
        <x:v>211</x:v>
      </x:c>
      <x:c r="M12" s="7" t="s">
        <x:v>216</x:v>
      </x:c>
      <x:c r="N12" s="9" t="s">
        <x:v>254</x:v>
      </x:c>
      <x:c r="O12" s="9" t="str">
        <x:f t="shared" si="0"/>
        <x:v>N</x:v>
      </x:c>
      <x:c r="P12" s="7">
        <x:f t="shared" si="1"/>
        <x:v>20</x:v>
      </x:c>
      <x:c r="Q12" s="7">
        <x:f t="shared" si="2"/>
        <x:v>20</x:v>
      </x:c>
      <x:c r="R12" s="9">
        <x:f t="shared" si="3"/>
        <x:v>20</x:v>
      </x:c>
      <x:c r="S12" s="9">
        <x:f t="shared" si="4"/>
        <x:v>60</x:v>
      </x:c>
      <x:c r="T12" s="5">
        <x:f t="shared" si="5"/>
        <x:v>30</x:v>
      </x:c>
      <x:c r="U12" s="5">
        <x:f t="shared" si="6"/>
        <x:v>10</x:v>
      </x:c>
      <x:c r="V12" s="5">
        <x:f t="shared" si="7"/>
        <x:v>0</x:v>
      </x:c>
      <x:c r="W12" s="5">
        <x:f t="shared" si="8"/>
        <x:v>10</x:v>
      </x:c>
      <x:c r="X12" s="7">
        <x:f t="shared" si="9"/>
        <x:v>110</x:v>
      </x:c>
      <x:c r="Y12" s="7">
        <x:f t="shared" si="10"/>
        <x:v>9</x:v>
      </x:c>
      <x:c r="Z12" s="4">
        <x:f t="shared" si="11"/>
        <x:v>0</x:v>
      </x:c>
      <x:c r="AA12" s="2">
        <x:f t="shared" si="12"/>
        <x:v>0</x:v>
      </x:c>
    </x:row>
    <x:row r="13" spans="1:27" s="7" customFormat="1">
      <x:c r="A13" s="9" t="s">
        <x:v>238</x:v>
      </x:c>
      <x:c r="B13" s="7" t="s">
        <x:v>94</x:v>
      </x:c>
      <x:c r="C13" s="7" t="s">
        <x:v>191</x:v>
      </x:c>
      <x:c r="D13" s="7" t="s">
        <x:v>270</x:v>
      </x:c>
      <x:c r="E13" s="7">
        <x:v>0</x:v>
      </x:c>
      <x:c r="F13" s="7">
        <x:v>15</x:v>
      </x:c>
      <x:c r="G13" s="7" t="s">
        <x:v>174</x:v>
      </x:c>
      <x:c r="H13" s="7" t="s">
        <x:v>260</x:v>
      </x:c>
      <x:c r="I13" s="7" t="s">
        <x:v>195</x:v>
      </x:c>
      <x:c r="J13" s="7" t="s">
        <x:v>211</x:v>
      </x:c>
      <x:c r="K13" s="7" t="s">
        <x:v>211</x:v>
      </x:c>
      <x:c r="L13" s="7" t="s">
        <x:v>211</x:v>
      </x:c>
      <x:c r="M13" s="7" t="s">
        <x:v>216</x:v>
      </x:c>
      <x:c r="N13" s="9" t="s">
        <x:v>224</x:v>
      </x:c>
      <x:c r="O13" s="9" t="str">
        <x:f t="shared" si="0"/>
        <x:v>Y</x:v>
      </x:c>
      <x:c r="P13" s="7">
        <x:f t="shared" si="1"/>
        <x:v>-999</x:v>
      </x:c>
      <x:c r="Q13" s="7">
        <x:f t="shared" si="2"/>
        <x:v>-999</x:v>
      </x:c>
      <x:c r="R13" s="9">
        <x:f t="shared" si="3"/>
        <x:v>-999</x:v>
      </x:c>
      <x:c r="S13" s="9">
        <x:f t="shared" si="4"/>
        <x:v>-2997</x:v>
      </x:c>
      <x:c r="T13" s="5">
        <x:f t="shared" si="5"/>
        <x:v>0</x:v>
      </x:c>
      <x:c r="U13" s="5">
        <x:f t="shared" si="6"/>
        <x:v>10</x:v>
      </x:c>
      <x:c r="V13" s="5">
        <x:f t="shared" si="7"/>
        <x:v>0</x:v>
      </x:c>
      <x:c r="W13" s="5">
        <x:f t="shared" si="8"/>
        <x:v>0</x:v>
      </x:c>
      <x:c r="X13" s="7">
        <x:f t="shared" si="9"/>
        <x:v>-999</x:v>
      </x:c>
      <x:c r="Y13" s="7" t="str">
        <x:f t="shared" si="10"/>
        <x:v>제외</x:v>
      </x:c>
      <x:c r="Z13" s="4">
        <x:f t="shared" si="11"/>
        <x:v>0</x:v>
      </x:c>
      <x:c r="AA13" s="2">
        <x:f t="shared" si="12"/>
        <x:v>0</x:v>
      </x:c>
    </x:row>
    <x:row r="14" spans="1:27" s="7" customFormat="1">
      <x:c r="A14" s="9" t="s">
        <x:v>279</x:v>
      </x:c>
      <x:c r="B14" s="7" t="s">
        <x:v>100</x:v>
      </x:c>
      <x:c r="C14" s="7" t="s">
        <x:v>191</x:v>
      </x:c>
      <x:c r="D14" s="7" t="s">
        <x:v>340</x:v>
      </x:c>
      <x:c r="E14" s="7">
        <x:v>0</x:v>
      </x:c>
      <x:c r="F14" s="7">
        <x:v>75</x:v>
      </x:c>
      <x:c r="G14" s="7" t="s">
        <x:v>213</x:v>
      </x:c>
      <x:c r="H14" s="7" t="s">
        <x:v>185</x:v>
      </x:c>
      <x:c r="I14" s="7" t="s">
        <x:v>220</x:v>
      </x:c>
      <x:c r="J14" s="7" t="s">
        <x:v>195</x:v>
      </x:c>
      <x:c r="K14" s="7" t="s">
        <x:v>195</x:v>
      </x:c>
      <x:c r="L14" s="7" t="s">
        <x:v>195</x:v>
      </x:c>
      <x:c r="M14" s="7" t="s">
        <x:v>199</x:v>
      </x:c>
      <x:c r="N14" s="9" t="s">
        <x:v>217</x:v>
      </x:c>
      <x:c r="O14" s="9" t="str">
        <x:f t="shared" si="0"/>
        <x:v>N</x:v>
      </x:c>
      <x:c r="P14" s="7">
        <x:f t="shared" si="1"/>
        <x:v>20</x:v>
      </x:c>
      <x:c r="Q14" s="7">
        <x:f t="shared" si="2"/>
        <x:v>-20</x:v>
      </x:c>
      <x:c r="R14" s="9">
        <x:f t="shared" si="3"/>
        <x:v>-10</x:v>
      </x:c>
      <x:c r="S14" s="9">
        <x:f t="shared" si="4"/>
        <x:v>-10</x:v>
      </x:c>
      <x:c r="T14" s="5">
        <x:f t="shared" si="5"/>
        <x:v>10</x:v>
      </x:c>
      <x:c r="U14" s="5">
        <x:f t="shared" si="6"/>
        <x:v>0</x:v>
      </x:c>
      <x:c r="V14" s="5">
        <x:f t="shared" si="7"/>
        <x:v>0</x:v>
      </x:c>
      <x:c r="W14" s="5">
        <x:f t="shared" si="8"/>
        <x:v>0</x:v>
      </x:c>
      <x:c r="X14" s="7">
        <x:f t="shared" si="9"/>
        <x:v>0</x:v>
      </x:c>
      <x:c r="Y14" s="7">
        <x:f t="shared" si="10"/>
        <x:v>25</x:v>
      </x:c>
      <x:c r="Z14" s="4">
        <x:f t="shared" si="11"/>
        <x:v>0</x:v>
      </x:c>
      <x:c r="AA14" s="2">
        <x:f t="shared" si="12"/>
        <x:v>0</x:v>
      </x:c>
    </x:row>
    <x:row r="15" spans="1:27" s="7" customFormat="1">
      <x:c r="A15" s="9" t="s">
        <x:v>283</x:v>
      </x:c>
      <x:c r="B15" s="7" t="s">
        <x:v>47</x:v>
      </x:c>
      <x:c r="C15" s="7" t="s">
        <x:v>191</x:v>
      </x:c>
      <x:c r="D15" s="7" t="s">
        <x:v>315</x:v>
      </x:c>
      <x:c r="E15" s="7">
        <x:v>15</x:v>
      </x:c>
      <x:c r="F15" s="7">
        <x:v>70</x:v>
      </x:c>
      <x:c r="G15" s="7" t="s">
        <x:v>248</x:v>
      </x:c>
      <x:c r="H15" s="7" t="s">
        <x:v>369</x:v>
      </x:c>
      <x:c r="I15" s="7" t="s">
        <x:v>220</x:v>
      </x:c>
      <x:c r="J15" s="7" t="s">
        <x:v>195</x:v>
      </x:c>
      <x:c r="K15" s="7" t="s">
        <x:v>195</x:v>
      </x:c>
      <x:c r="L15" s="7" t="s">
        <x:v>195</x:v>
      </x:c>
      <x:c r="M15" s="7" t="s">
        <x:v>196</x:v>
      </x:c>
      <x:c r="N15" s="9" t="s">
        <x:v>218</x:v>
      </x:c>
      <x:c r="O15" s="9" t="str">
        <x:f t="shared" si="0"/>
        <x:v>N</x:v>
      </x:c>
      <x:c r="P15" s="7">
        <x:f t="shared" si="1"/>
        <x:v>20</x:v>
      </x:c>
      <x:c r="Q15" s="7">
        <x:f t="shared" si="2"/>
        <x:v>-20</x:v>
      </x:c>
      <x:c r="R15" s="9">
        <x:f t="shared" si="3"/>
        <x:v>30</x:v>
      </x:c>
      <x:c r="S15" s="9">
        <x:f t="shared" si="4"/>
        <x:v>30</x:v>
      </x:c>
      <x:c r="T15" s="5">
        <x:f t="shared" si="5"/>
        <x:v>10</x:v>
      </x:c>
      <x:c r="U15" s="5">
        <x:f t="shared" si="6"/>
        <x:v>0</x:v>
      </x:c>
      <x:c r="V15" s="5">
        <x:f t="shared" si="7"/>
        <x:v>0</x:v>
      </x:c>
      <x:c r="W15" s="5">
        <x:f t="shared" si="8"/>
        <x:v>0</x:v>
      </x:c>
      <x:c r="X15" s="7">
        <x:f t="shared" si="9"/>
        <x:v>40</x:v>
      </x:c>
      <x:c r="Y15" s="7">
        <x:f t="shared" si="10"/>
        <x:v>20</x:v>
      </x:c>
      <x:c r="Z15" s="4">
        <x:f t="shared" si="11"/>
        <x:v>0</x:v>
      </x:c>
      <x:c r="AA15" s="2">
        <x:f t="shared" si="12"/>
        <x:v>0</x:v>
      </x:c>
    </x:row>
    <x:row r="16" spans="1:27" s="7" customFormat="1">
      <x:c r="A16" s="9" t="s">
        <x:v>314</x:v>
      </x:c>
      <x:c r="B16" s="7" t="s">
        <x:v>141</x:v>
      </x:c>
      <x:c r="C16" s="7" t="s">
        <x:v>191</x:v>
      </x:c>
      <x:c r="D16" s="7" t="s">
        <x:v>270</x:v>
      </x:c>
      <x:c r="E16" s="7">
        <x:v>15</x:v>
      </x:c>
      <x:c r="F16" s="7">
        <x:v>70</x:v>
      </x:c>
      <x:c r="G16" s="7" t="s">
        <x:v>259</x:v>
      </x:c>
      <x:c r="H16" s="7" t="s">
        <x:v>336</x:v>
      </x:c>
      <x:c r="I16" s="7" t="s">
        <x:v>195</x:v>
      </x:c>
      <x:c r="J16" s="7" t="s">
        <x:v>220</x:v>
      </x:c>
      <x:c r="K16" s="7" t="s">
        <x:v>220</x:v>
      </x:c>
      <x:c r="L16" s="7" t="s">
        <x:v>220</x:v>
      </x:c>
      <x:c r="M16" s="7" t="s">
        <x:v>216</x:v>
      </x:c>
      <x:c r="N16" s="9" t="s">
        <x:v>254</x:v>
      </x:c>
      <x:c r="O16" s="9" t="str">
        <x:f t="shared" si="0"/>
        <x:v>N</x:v>
      </x:c>
      <x:c r="P16" s="7">
        <x:f t="shared" si="1"/>
        <x:v>20</x:v>
      </x:c>
      <x:c r="Q16" s="7">
        <x:f t="shared" si="2"/>
        <x:v>40</x:v>
      </x:c>
      <x:c r="R16" s="9">
        <x:f t="shared" si="3"/>
        <x:v>20</x:v>
      </x:c>
      <x:c r="S16" s="9">
        <x:f t="shared" si="4"/>
        <x:v>80</x:v>
      </x:c>
      <x:c r="T16" s="5">
        <x:f t="shared" si="5"/>
        <x:v>30</x:v>
      </x:c>
      <x:c r="U16" s="5">
        <x:f t="shared" si="6"/>
        <x:v>30</x:v>
      </x:c>
      <x:c r="V16" s="5">
        <x:f t="shared" si="7"/>
        <x:v>0</x:v>
      </x:c>
      <x:c r="W16" s="5">
        <x:f t="shared" si="8"/>
        <x:v>20</x:v>
      </x:c>
      <x:c r="X16" s="7">
        <x:f t="shared" si="9"/>
        <x:v>160</x:v>
      </x:c>
      <x:c r="Y16" s="7">
        <x:f t="shared" si="10"/>
        <x:v>2</x:v>
      </x:c>
      <x:c r="Z16" s="4">
        <x:f t="shared" si="11"/>
        <x:v>0</x:v>
      </x:c>
      <x:c r="AA16" s="2">
        <x:f t="shared" si="12"/>
        <x:v>0</x:v>
      </x:c>
    </x:row>
    <x:row r="17" spans="1:27" s="7" customFormat="1">
      <x:c r="A17" s="9" t="s">
        <x:v>304</x:v>
      </x:c>
      <x:c r="B17" s="7" t="s">
        <x:v>39</x:v>
      </x:c>
      <x:c r="C17" s="7" t="s">
        <x:v>191</x:v>
      </x:c>
      <x:c r="D17" s="7" t="s">
        <x:v>270</x:v>
      </x:c>
      <x:c r="E17" s="7">
        <x:v>0</x:v>
      </x:c>
      <x:c r="F17" s="7">
        <x:v>80</x:v>
      </x:c>
      <x:c r="G17" s="7" t="s">
        <x:v>259</x:v>
      </x:c>
      <x:c r="H17" s="7" t="s">
        <x:v>336</x:v>
      </x:c>
      <x:c r="I17" s="7" t="s">
        <x:v>195</x:v>
      </x:c>
      <x:c r="J17" s="7" t="s">
        <x:v>220</x:v>
      </x:c>
      <x:c r="K17" s="7" t="s">
        <x:v>195</x:v>
      </x:c>
      <x:c r="L17" s="7" t="s">
        <x:v>195</x:v>
      </x:c>
      <x:c r="M17" s="7" t="s">
        <x:v>216</x:v>
      </x:c>
      <x:c r="N17" s="9" t="s">
        <x:v>226</x:v>
      </x:c>
      <x:c r="O17" s="9" t="str">
        <x:f t="shared" si="0"/>
        <x:v>N</x:v>
      </x:c>
      <x:c r="P17" s="7">
        <x:f t="shared" si="1"/>
        <x:v>20</x:v>
      </x:c>
      <x:c r="Q17" s="7">
        <x:f t="shared" si="2"/>
        <x:v>40</x:v>
      </x:c>
      <x:c r="R17" s="9">
        <x:f t="shared" si="3"/>
        <x:v>30</x:v>
      </x:c>
      <x:c r="S17" s="9">
        <x:f t="shared" si="4"/>
        <x:v>90</x:v>
      </x:c>
      <x:c r="T17" s="5">
        <x:f t="shared" si="5"/>
        <x:v>10</x:v>
      </x:c>
      <x:c r="U17" s="5">
        <x:f t="shared" si="6"/>
        <x:v>30</x:v>
      </x:c>
      <x:c r="V17" s="5">
        <x:f t="shared" si="7"/>
        <x:v>0</x:v>
      </x:c>
      <x:c r="W17" s="5">
        <x:f t="shared" si="8"/>
        <x:v>20</x:v>
      </x:c>
      <x:c r="X17" s="7">
        <x:f t="shared" si="9"/>
        <x:v>150</x:v>
      </x:c>
      <x:c r="Y17" s="7">
        <x:f t="shared" si="10"/>
        <x:v>6</x:v>
      </x:c>
      <x:c r="Z17" s="4">
        <x:f t="shared" si="11"/>
        <x:v>0</x:v>
      </x:c>
      <x:c r="AA17" s="2">
        <x:f t="shared" si="12"/>
        <x:v>0</x:v>
      </x:c>
    </x:row>
    <x:row r="18" spans="1:27" s="7" customFormat="1">
      <x:c r="A18" s="9" t="s">
        <x:v>295</x:v>
      </x:c>
      <x:c r="B18" s="7" t="s">
        <x:v>133</x:v>
      </x:c>
      <x:c r="C18" s="7" t="s">
        <x:v>191</x:v>
      </x:c>
      <x:c r="D18" s="7" t="s">
        <x:v>316</x:v>
      </x:c>
      <x:c r="E18" s="7">
        <x:v>0</x:v>
      </x:c>
      <x:c r="F18" s="7">
        <x:v>80</x:v>
      </x:c>
      <x:c r="G18" s="7" t="s">
        <x:v>166</x:v>
      </x:c>
      <x:c r="H18" s="7" t="s">
        <x:v>252</x:v>
      </x:c>
      <x:c r="I18" s="7" t="s">
        <x:v>220</x:v>
      </x:c>
      <x:c r="J18" s="7" t="s">
        <x:v>195</x:v>
      </x:c>
      <x:c r="K18" s="7" t="s">
        <x:v>195</x:v>
      </x:c>
      <x:c r="L18" s="7" t="s">
        <x:v>195</x:v>
      </x:c>
      <x:c r="M18" s="7" t="s">
        <x:v>213</x:v>
      </x:c>
      <x:c r="N18" s="9" t="s">
        <x:v>213</x:v>
      </x:c>
      <x:c r="O18" s="9" t="str">
        <x:f t="shared" si="0"/>
        <x:v>N</x:v>
      </x:c>
      <x:c r="P18" s="7">
        <x:f t="shared" si="1"/>
        <x:v>20</x:v>
      </x:c>
      <x:c r="Q18" s="7">
        <x:f t="shared" si="2"/>
        <x:v>-20</x:v>
      </x:c>
      <x:c r="R18" s="9">
        <x:f t="shared" si="3"/>
        <x:v>-10</x:v>
      </x:c>
      <x:c r="S18" s="9">
        <x:f t="shared" si="4"/>
        <x:v>-10</x:v>
      </x:c>
      <x:c r="T18" s="5">
        <x:f t="shared" si="5"/>
        <x:v>10</x:v>
      </x:c>
      <x:c r="U18" s="5">
        <x:f t="shared" si="6"/>
        <x:v>0</x:v>
      </x:c>
      <x:c r="V18" s="5">
        <x:f t="shared" si="7"/>
        <x:v>0</x:v>
      </x:c>
      <x:c r="W18" s="5">
        <x:f t="shared" si="8"/>
        <x:v>0</x:v>
      </x:c>
      <x:c r="X18" s="7">
        <x:f t="shared" si="9"/>
        <x:v>80</x:v>
      </x:c>
      <x:c r="Y18" s="7">
        <x:f t="shared" si="10"/>
        <x:v>15</x:v>
      </x:c>
      <x:c r="Z18" s="4">
        <x:f t="shared" si="11"/>
        <x:v>0</x:v>
      </x:c>
      <x:c r="AA18" s="2">
        <x:f t="shared" si="12"/>
        <x:v>80</x:v>
      </x:c>
    </x:row>
    <x:row r="19" spans="1:27" s="7" customFormat="1">
      <x:c r="A19" s="9" t="s">
        <x:v>354</x:v>
      </x:c>
      <x:c r="B19" s="7" t="s">
        <x:v>116</x:v>
      </x:c>
      <x:c r="C19" s="7" t="s">
        <x:v>191</x:v>
      </x:c>
      <x:c r="D19" s="7" t="s">
        <x:v>270</x:v>
      </x:c>
      <x:c r="E19" s="7">
        <x:v>0</x:v>
      </x:c>
      <x:c r="F19" s="7">
        <x:v>80</x:v>
      </x:c>
      <x:c r="G19" s="7" t="s">
        <x:v>166</x:v>
      </x:c>
      <x:c r="H19" s="7" t="s">
        <x:v>252</x:v>
      </x:c>
      <x:c r="I19" s="7" t="s">
        <x:v>195</x:v>
      </x:c>
      <x:c r="J19" s="7" t="s">
        <x:v>220</x:v>
      </x:c>
      <x:c r="K19" s="7" t="s">
        <x:v>195</x:v>
      </x:c>
      <x:c r="L19" s="7" t="s">
        <x:v>195</x:v>
      </x:c>
      <x:c r="M19" s="7" t="s">
        <x:v>216</x:v>
      </x:c>
      <x:c r="N19" s="9" t="s">
        <x:v>254</x:v>
      </x:c>
      <x:c r="O19" s="9" t="str">
        <x:f t="shared" si="0"/>
        <x:v>N</x:v>
      </x:c>
      <x:c r="P19" s="7">
        <x:f t="shared" si="1"/>
        <x:v>20</x:v>
      </x:c>
      <x:c r="Q19" s="7">
        <x:f t="shared" si="2"/>
        <x:v>40</x:v>
      </x:c>
      <x:c r="R19" s="9">
        <x:f t="shared" si="3"/>
        <x:v>20</x:v>
      </x:c>
      <x:c r="S19" s="9">
        <x:f t="shared" si="4"/>
        <x:v>80</x:v>
      </x:c>
      <x:c r="T19" s="5">
        <x:f t="shared" si="5"/>
        <x:v>30</x:v>
      </x:c>
      <x:c r="U19" s="5">
        <x:f t="shared" si="6"/>
        <x:v>30</x:v>
      </x:c>
      <x:c r="V19" s="5">
        <x:f t="shared" si="7"/>
        <x:v>0</x:v>
      </x:c>
      <x:c r="W19" s="5">
        <x:f t="shared" si="8"/>
        <x:v>20</x:v>
      </x:c>
      <x:c r="X19" s="7">
        <x:f t="shared" si="9"/>
        <x:v>240</x:v>
      </x:c>
      <x:c r="Y19" s="7">
        <x:f t="shared" si="10"/>
        <x:v>1</x:v>
      </x:c>
      <x:c r="Z19" s="4">
        <x:f t="shared" si="11"/>
        <x:v>0</x:v>
      </x:c>
      <x:c r="AA19" s="2">
        <x:f t="shared" si="12"/>
        <x:v>80</x:v>
      </x:c>
    </x:row>
    <x:row r="20" spans="1:27" s="7" customFormat="1">
      <x:c r="A20" s="9" t="s">
        <x:v>317</x:v>
      </x:c>
      <x:c r="B20" s="7" t="s">
        <x:v>67</x:v>
      </x:c>
      <x:c r="C20" s="7" t="s">
        <x:v>191</x:v>
      </x:c>
      <x:c r="D20" s="7" t="s">
        <x:v>340</x:v>
      </x:c>
      <x:c r="E20" s="7">
        <x:v>0</x:v>
      </x:c>
      <x:c r="F20" s="7">
        <x:v>80</x:v>
      </x:c>
      <x:c r="G20" s="7" t="s">
        <x:v>213</x:v>
      </x:c>
      <x:c r="H20" s="7" t="s">
        <x:v>252</x:v>
      </x:c>
      <x:c r="I20" s="7" t="s">
        <x:v>220</x:v>
      </x:c>
      <x:c r="J20" s="7" t="s">
        <x:v>195</x:v>
      </x:c>
      <x:c r="K20" s="7" t="s">
        <x:v>195</x:v>
      </x:c>
      <x:c r="L20" s="7" t="s">
        <x:v>195</x:v>
      </x:c>
      <x:c r="M20" s="7" t="s">
        <x:v>199</x:v>
      </x:c>
      <x:c r="N20" s="9" t="s">
        <x:v>217</x:v>
      </x:c>
      <x:c r="O20" s="9" t="str">
        <x:f t="shared" si="0"/>
        <x:v>N</x:v>
      </x:c>
      <x:c r="P20" s="7">
        <x:f t="shared" si="1"/>
        <x:v>20</x:v>
      </x:c>
      <x:c r="Q20" s="7">
        <x:f t="shared" si="2"/>
        <x:v>-20</x:v>
      </x:c>
      <x:c r="R20" s="9">
        <x:f t="shared" si="3"/>
        <x:v>-10</x:v>
      </x:c>
      <x:c r="S20" s="9">
        <x:f t="shared" si="4"/>
        <x:v>-10</x:v>
      </x:c>
      <x:c r="T20" s="5">
        <x:f t="shared" si="5"/>
        <x:v>10</x:v>
      </x:c>
      <x:c r="U20" s="5">
        <x:f t="shared" si="6"/>
        <x:v>0</x:v>
      </x:c>
      <x:c r="V20" s="5">
        <x:f t="shared" si="7"/>
        <x:v>0</x:v>
      </x:c>
      <x:c r="W20" s="5">
        <x:f t="shared" si="8"/>
        <x:v>0</x:v>
      </x:c>
      <x:c r="X20" s="7">
        <x:f t="shared" si="9"/>
        <x:v>80</x:v>
      </x:c>
      <x:c r="Y20" s="7">
        <x:f t="shared" si="10"/>
        <x:v>15</x:v>
      </x:c>
      <x:c r="Z20" s="4">
        <x:f t="shared" si="11"/>
        <x:v>0</x:v>
      </x:c>
      <x:c r="AA20" s="2">
        <x:f t="shared" si="12"/>
        <x:v>80</x:v>
      </x:c>
    </x:row>
    <x:row r="21" spans="1:27" s="7" customFormat="1">
      <x:c r="A21" s="9" t="s">
        <x:v>307</x:v>
      </x:c>
      <x:c r="B21" s="7" t="s">
        <x:v>106</x:v>
      </x:c>
      <x:c r="C21" s="7" t="s">
        <x:v>191</x:v>
      </x:c>
      <x:c r="D21" s="7" t="s">
        <x:v>315</x:v>
      </x:c>
      <x:c r="E21" s="7">
        <x:v>0</x:v>
      </x:c>
      <x:c r="F21" s="7">
        <x:v>80</x:v>
      </x:c>
      <x:c r="G21" s="7" t="s">
        <x:v>248</x:v>
      </x:c>
      <x:c r="H21" s="7" t="s">
        <x:v>194</x:v>
      </x:c>
      <x:c r="I21" s="7" t="s">
        <x:v>220</x:v>
      </x:c>
      <x:c r="J21" s="7" t="s">
        <x:v>195</x:v>
      </x:c>
      <x:c r="K21" s="7" t="s">
        <x:v>195</x:v>
      </x:c>
      <x:c r="L21" s="7" t="s">
        <x:v>195</x:v>
      </x:c>
      <x:c r="M21" s="7" t="s">
        <x:v>196</x:v>
      </x:c>
      <x:c r="N21" s="9" t="s">
        <x:v>218</x:v>
      </x:c>
      <x:c r="O21" s="9" t="str">
        <x:f t="shared" si="0"/>
        <x:v>N</x:v>
      </x:c>
      <x:c r="P21" s="7">
        <x:f t="shared" si="1"/>
        <x:v>20</x:v>
      </x:c>
      <x:c r="Q21" s="7">
        <x:f t="shared" si="2"/>
        <x:v>-20</x:v>
      </x:c>
      <x:c r="R21" s="9">
        <x:f t="shared" si="3"/>
        <x:v>30</x:v>
      </x:c>
      <x:c r="S21" s="9">
        <x:f t="shared" si="4"/>
        <x:v>30</x:v>
      </x:c>
      <x:c r="T21" s="5">
        <x:f t="shared" si="5"/>
        <x:v>10</x:v>
      </x:c>
      <x:c r="U21" s="5">
        <x:f t="shared" si="6"/>
        <x:v>0</x:v>
      </x:c>
      <x:c r="V21" s="5">
        <x:f t="shared" si="7"/>
        <x:v>0</x:v>
      </x:c>
      <x:c r="W21" s="5">
        <x:f t="shared" si="8"/>
        <x:v>0</x:v>
      </x:c>
      <x:c r="X21" s="7">
        <x:f t="shared" si="9"/>
        <x:v>120</x:v>
      </x:c>
      <x:c r="Y21" s="7">
        <x:f t="shared" si="10"/>
        <x:v>7</x:v>
      </x:c>
      <x:c r="Z21" s="4">
        <x:f t="shared" si="11"/>
        <x:v>0</x:v>
      </x:c>
      <x:c r="AA21" s="2">
        <x:f t="shared" si="12"/>
        <x:v>80</x:v>
      </x:c>
    </x:row>
    <x:row r="22" spans="1:27" s="7" customFormat="1">
      <x:c r="A22" s="9" t="s">
        <x:v>359</x:v>
      </x:c>
      <x:c r="B22" s="7" t="s">
        <x:v>73</x:v>
      </x:c>
      <x:c r="C22" s="7" t="s">
        <x:v>191</x:v>
      </x:c>
      <x:c r="D22" s="7" t="s">
        <x:v>315</x:v>
      </x:c>
      <x:c r="E22" s="7">
        <x:v>15</x:v>
      </x:c>
      <x:c r="F22" s="7">
        <x:v>70</x:v>
      </x:c>
      <x:c r="G22" s="7" t="s">
        <x:v>310</x:v>
      </x:c>
      <x:c r="H22" s="7" t="s">
        <x:v>260</x:v>
      </x:c>
      <x:c r="I22" s="7" t="s">
        <x:v>220</x:v>
      </x:c>
      <x:c r="J22" s="7" t="s">
        <x:v>195</x:v>
      </x:c>
      <x:c r="K22" s="7" t="s">
        <x:v>195</x:v>
      </x:c>
      <x:c r="L22" s="7" t="s">
        <x:v>195</x:v>
      </x:c>
      <x:c r="M22" s="7" t="s">
        <x:v>196</x:v>
      </x:c>
      <x:c r="N22" s="9" t="s">
        <x:v>218</x:v>
      </x:c>
      <x:c r="O22" s="9" t="str">
        <x:f t="shared" si="0"/>
        <x:v>N</x:v>
      </x:c>
      <x:c r="P22" s="7">
        <x:f t="shared" si="1"/>
        <x:v>20</x:v>
      </x:c>
      <x:c r="Q22" s="7">
        <x:f t="shared" si="2"/>
        <x:v>-20</x:v>
      </x:c>
      <x:c r="R22" s="9">
        <x:f t="shared" si="3"/>
        <x:v>30</x:v>
      </x:c>
      <x:c r="S22" s="9">
        <x:f t="shared" si="4"/>
        <x:v>30</x:v>
      </x:c>
      <x:c r="T22" s="5">
        <x:f t="shared" si="5"/>
        <x:v>10</x:v>
      </x:c>
      <x:c r="U22" s="5">
        <x:f t="shared" si="6"/>
        <x:v>0</x:v>
      </x:c>
      <x:c r="V22" s="5">
        <x:f t="shared" si="7"/>
        <x:v>0</x:v>
      </x:c>
      <x:c r="W22" s="5">
        <x:f t="shared" si="8"/>
        <x:v>0</x:v>
      </x:c>
      <x:c r="X22" s="7">
        <x:f t="shared" si="9"/>
        <x:v>40</x:v>
      </x:c>
      <x:c r="Y22" s="7">
        <x:f t="shared" si="10"/>
        <x:v>20</x:v>
      </x:c>
      <x:c r="Z22" s="4">
        <x:f t="shared" si="11"/>
        <x:v>0</x:v>
      </x:c>
      <x:c r="AA22" s="2">
        <x:f t="shared" si="12"/>
        <x:v>0</x:v>
      </x:c>
    </x:row>
    <x:row r="23" spans="1:27" s="7" customFormat="1">
      <x:c r="A23" s="9" t="s">
        <x:v>348</x:v>
      </x:c>
      <x:c r="B23" s="7" t="s">
        <x:v>75</x:v>
      </x:c>
      <x:c r="C23" s="7" t="s">
        <x:v>191</x:v>
      </x:c>
      <x:c r="D23" s="7" t="s">
        <x:v>340</x:v>
      </x:c>
      <x:c r="E23" s="7">
        <x:v>0</x:v>
      </x:c>
      <x:c r="F23" s="7">
        <x:v>75</x:v>
      </x:c>
      <x:c r="G23" s="7" t="s">
        <x:v>213</x:v>
      </x:c>
      <x:c r="H23" s="7" t="s">
        <x:v>188</x:v>
      </x:c>
      <x:c r="I23" s="7" t="s">
        <x:v>220</x:v>
      </x:c>
      <x:c r="J23" s="7" t="s">
        <x:v>195</x:v>
      </x:c>
      <x:c r="K23" s="7" t="s">
        <x:v>195</x:v>
      </x:c>
      <x:c r="L23" s="7" t="s">
        <x:v>195</x:v>
      </x:c>
      <x:c r="M23" s="7" t="s">
        <x:v>199</x:v>
      </x:c>
      <x:c r="N23" s="9" t="s">
        <x:v>217</x:v>
      </x:c>
      <x:c r="O23" s="9" t="str">
        <x:f t="shared" si="0"/>
        <x:v>N</x:v>
      </x:c>
      <x:c r="P23" s="7">
        <x:f t="shared" si="1"/>
        <x:v>20</x:v>
      </x:c>
      <x:c r="Q23" s="7">
        <x:f t="shared" si="2"/>
        <x:v>-20</x:v>
      </x:c>
      <x:c r="R23" s="9">
        <x:f t="shared" si="3"/>
        <x:v>-10</x:v>
      </x:c>
      <x:c r="S23" s="9">
        <x:f t="shared" si="4"/>
        <x:v>-10</x:v>
      </x:c>
      <x:c r="T23" s="5">
        <x:f t="shared" si="5"/>
        <x:v>10</x:v>
      </x:c>
      <x:c r="U23" s="5">
        <x:f t="shared" si="6"/>
        <x:v>0</x:v>
      </x:c>
      <x:c r="V23" s="5">
        <x:f t="shared" si="7"/>
        <x:v>0</x:v>
      </x:c>
      <x:c r="W23" s="5">
        <x:f t="shared" si="8"/>
        <x:v>0</x:v>
      </x:c>
      <x:c r="X23" s="7">
        <x:f t="shared" si="9"/>
        <x:v>0</x:v>
      </x:c>
      <x:c r="Y23" s="7">
        <x:f t="shared" si="10"/>
        <x:v>25</x:v>
      </x:c>
      <x:c r="Z23" s="4">
        <x:f t="shared" si="11"/>
        <x:v>0</x:v>
      </x:c>
      <x:c r="AA23" s="2">
        <x:f t="shared" si="12"/>
        <x:v>0</x:v>
      </x:c>
    </x:row>
    <x:row r="24" spans="1:27" s="7" customFormat="1">
      <x:c r="A24" s="9" t="s">
        <x:v>360</x:v>
      </x:c>
      <x:c r="B24" s="7" t="s">
        <x:v>156</x:v>
      </x:c>
      <x:c r="C24" s="7" t="s">
        <x:v>191</x:v>
      </x:c>
      <x:c r="D24" s="7" t="s">
        <x:v>340</x:v>
      </x:c>
      <x:c r="E24" s="7">
        <x:v>0</x:v>
      </x:c>
      <x:c r="F24" s="7">
        <x:v>80</x:v>
      </x:c>
      <x:c r="G24" s="7" t="s">
        <x:v>213</x:v>
      </x:c>
      <x:c r="H24" s="7" t="s">
        <x:v>252</x:v>
      </x:c>
      <x:c r="I24" s="7" t="s">
        <x:v>220</x:v>
      </x:c>
      <x:c r="J24" s="7" t="s">
        <x:v>195</x:v>
      </x:c>
      <x:c r="K24" s="7" t="s">
        <x:v>195</x:v>
      </x:c>
      <x:c r="L24" s="7" t="s">
        <x:v>195</x:v>
      </x:c>
      <x:c r="M24" s="7" t="s">
        <x:v>199</x:v>
      </x:c>
      <x:c r="N24" s="9" t="s">
        <x:v>217</x:v>
      </x:c>
      <x:c r="O24" s="9" t="str">
        <x:f t="shared" si="0"/>
        <x:v>N</x:v>
      </x:c>
      <x:c r="P24" s="7">
        <x:f t="shared" si="1"/>
        <x:v>20</x:v>
      </x:c>
      <x:c r="Q24" s="7">
        <x:f t="shared" si="2"/>
        <x:v>-20</x:v>
      </x:c>
      <x:c r="R24" s="9">
        <x:f t="shared" si="3"/>
        <x:v>-10</x:v>
      </x:c>
      <x:c r="S24" s="9">
        <x:f t="shared" si="4"/>
        <x:v>-10</x:v>
      </x:c>
      <x:c r="T24" s="5">
        <x:f t="shared" si="5"/>
        <x:v>10</x:v>
      </x:c>
      <x:c r="U24" s="5">
        <x:f t="shared" si="6"/>
        <x:v>0</x:v>
      </x:c>
      <x:c r="V24" s="5">
        <x:f t="shared" si="7"/>
        <x:v>0</x:v>
      </x:c>
      <x:c r="W24" s="5">
        <x:f t="shared" si="8"/>
        <x:v>0</x:v>
      </x:c>
      <x:c r="X24" s="7">
        <x:f t="shared" si="9"/>
        <x:v>0</x:v>
      </x:c>
      <x:c r="Y24" s="7">
        <x:f t="shared" si="10"/>
        <x:v>25</x:v>
      </x:c>
      <x:c r="Z24" s="4">
        <x:f t="shared" si="11"/>
        <x:v>0</x:v>
      </x:c>
      <x:c r="AA24" s="2">
        <x:f t="shared" si="12"/>
        <x:v>0</x:v>
      </x:c>
    </x:row>
    <x:row r="25" spans="1:27" s="7" customFormat="1">
      <x:c r="A25" s="9" t="s">
        <x:v>258</x:v>
      </x:c>
      <x:c r="B25" s="7" t="s">
        <x:v>48</x:v>
      </x:c>
      <x:c r="C25" s="7" t="s">
        <x:v>191</x:v>
      </x:c>
      <x:c r="D25" s="7" t="s">
        <x:v>270</x:v>
      </x:c>
      <x:c r="E25" s="7">
        <x:v>15</x:v>
      </x:c>
      <x:c r="F25" s="7">
        <x:v>79</x:v>
      </x:c>
      <x:c r="G25" s="7" t="s">
        <x:v>378</x:v>
      </x:c>
      <x:c r="H25" s="7" t="s">
        <x:v>188</x:v>
      </x:c>
      <x:c r="I25" s="7" t="s">
        <x:v>195</x:v>
      </x:c>
      <x:c r="J25" s="7" t="s">
        <x:v>195</x:v>
      </x:c>
      <x:c r="K25" s="7" t="s">
        <x:v>195</x:v>
      </x:c>
      <x:c r="L25" s="7" t="s">
        <x:v>195</x:v>
      </x:c>
      <x:c r="M25" s="7" t="s">
        <x:v>216</x:v>
      </x:c>
      <x:c r="N25" s="9" t="s">
        <x:v>215</x:v>
      </x:c>
      <x:c r="O25" s="9" t="str">
        <x:f t="shared" si="0"/>
        <x:v>N</x:v>
      </x:c>
      <x:c r="P25" s="7">
        <x:f t="shared" si="1"/>
        <x:v>20</x:v>
      </x:c>
      <x:c r="Q25" s="7">
        <x:f t="shared" si="2"/>
        <x:v>-20</x:v>
      </x:c>
      <x:c r="R25" s="9">
        <x:f t="shared" si="3"/>
        <x:v>30</x:v>
      </x:c>
      <x:c r="S25" s="9">
        <x:f t="shared" si="4"/>
        <x:v>30</x:v>
      </x:c>
      <x:c r="T25" s="5">
        <x:f t="shared" si="5"/>
        <x:v>10</x:v>
      </x:c>
      <x:c r="U25" s="5">
        <x:f t="shared" si="6"/>
        <x:v>0</x:v>
      </x:c>
      <x:c r="V25" s="5">
        <x:f t="shared" si="7"/>
        <x:v>0</x:v>
      </x:c>
      <x:c r="W25" s="5">
        <x:f t="shared" si="8"/>
        <x:v>0</x:v>
      </x:c>
      <x:c r="X25" s="7">
        <x:f t="shared" si="9"/>
        <x:v>40</x:v>
      </x:c>
      <x:c r="Y25" s="7">
        <x:f t="shared" si="10"/>
        <x:v>20</x:v>
      </x:c>
      <x:c r="Z25" s="4">
        <x:f t="shared" si="11"/>
        <x:v>0</x:v>
      </x:c>
      <x:c r="AA25" s="2">
        <x:f t="shared" si="12"/>
        <x:v>0</x:v>
      </x:c>
    </x:row>
    <x:row r="26" spans="1:27" s="7" customFormat="1">
      <x:c r="A26" s="9" t="s">
        <x:v>263</x:v>
      </x:c>
      <x:c r="B26" s="7" t="s">
        <x:v>122</x:v>
      </x:c>
      <x:c r="C26" s="7" t="s">
        <x:v>191</x:v>
      </x:c>
      <x:c r="D26" s="7" t="s">
        <x:v>270</x:v>
      </x:c>
      <x:c r="E26" s="7">
        <x:v>30</x:v>
      </x:c>
      <x:c r="F26" s="7">
        <x:v>75</x:v>
      </x:c>
      <x:c r="G26" s="7" t="s">
        <x:v>151</x:v>
      </x:c>
      <x:c r="H26" s="7" t="s">
        <x:v>260</x:v>
      </x:c>
      <x:c r="I26" s="7" t="s">
        <x:v>195</x:v>
      </x:c>
      <x:c r="J26" s="7" t="s">
        <x:v>195</x:v>
      </x:c>
      <x:c r="K26" s="7" t="s">
        <x:v>195</x:v>
      </x:c>
      <x:c r="L26" s="7" t="s">
        <x:v>195</x:v>
      </x:c>
      <x:c r="M26" s="7" t="s">
        <x:v>216</x:v>
      </x:c>
      <x:c r="N26" s="9" t="s">
        <x:v>192</x:v>
      </x:c>
      <x:c r="O26" s="9" t="str">
        <x:f t="shared" si="0"/>
        <x:v>N</x:v>
      </x:c>
      <x:c r="P26" s="7">
        <x:f t="shared" si="1"/>
        <x:v>20</x:v>
      </x:c>
      <x:c r="Q26" s="7">
        <x:f t="shared" si="2"/>
        <x:v>-20</x:v>
      </x:c>
      <x:c r="R26" s="9">
        <x:f t="shared" si="3"/>
        <x:v>-10</x:v>
      </x:c>
      <x:c r="S26" s="9">
        <x:f t="shared" si="4"/>
        <x:v>-10</x:v>
      </x:c>
      <x:c r="T26" s="5">
        <x:f t="shared" si="5"/>
        <x:v>30</x:v>
      </x:c>
      <x:c r="U26" s="5">
        <x:f t="shared" si="6"/>
        <x:v>0</x:v>
      </x:c>
      <x:c r="V26" s="5">
        <x:f t="shared" si="7"/>
        <x:v>0</x:v>
      </x:c>
      <x:c r="W26" s="5">
        <x:f t="shared" si="8"/>
        <x:v>0</x:v>
      </x:c>
      <x:c r="X26" s="7">
        <x:f t="shared" si="9"/>
        <x:v>20</x:v>
      </x:c>
      <x:c r="Y26" s="7">
        <x:f t="shared" si="10"/>
        <x:v>23</x:v>
      </x:c>
      <x:c r="Z26" s="4">
        <x:f t="shared" si="11"/>
        <x:v>0</x:v>
      </x:c>
      <x:c r="AA26" s="2">
        <x:f t="shared" si="12"/>
        <x:v>0</x:v>
      </x:c>
    </x:row>
    <x:row r="27" spans="1:27" s="7" customFormat="1">
      <x:c r="A27" s="9" t="s">
        <x:v>308</x:v>
      </x:c>
      <x:c r="B27" s="7" t="s">
        <x:v>119</x:v>
      </x:c>
      <x:c r="C27" s="7" t="s">
        <x:v>191</x:v>
      </x:c>
      <x:c r="D27" s="7" t="s">
        <x:v>270</x:v>
      </x:c>
      <x:c r="E27" s="7">
        <x:v>15</x:v>
      </x:c>
      <x:c r="F27" s="7">
        <x:v>65</x:v>
      </x:c>
      <x:c r="G27" s="7" t="s">
        <x:v>151</x:v>
      </x:c>
      <x:c r="H27" s="7" t="s">
        <x:v>239</x:v>
      </x:c>
      <x:c r="I27" s="7" t="s">
        <x:v>220</x:v>
      </x:c>
      <x:c r="J27" s="7" t="s">
        <x:v>220</x:v>
      </x:c>
      <x:c r="K27" s="7" t="s">
        <x:v>220</x:v>
      </x:c>
      <x:c r="L27" s="7" t="s">
        <x:v>220</x:v>
      </x:c>
      <x:c r="M27" s="7" t="s">
        <x:v>216</x:v>
      </x:c>
      <x:c r="N27" s="9" t="s">
        <x:v>254</x:v>
      </x:c>
      <x:c r="O27" s="9" t="str">
        <x:f t="shared" si="0"/>
        <x:v>N</x:v>
      </x:c>
      <x:c r="P27" s="7">
        <x:f t="shared" si="1"/>
        <x:v>20</x:v>
      </x:c>
      <x:c r="Q27" s="7">
        <x:f t="shared" si="2"/>
        <x:v>40</x:v>
      </x:c>
      <x:c r="R27" s="9">
        <x:f t="shared" si="3"/>
        <x:v>20</x:v>
      </x:c>
      <x:c r="S27" s="9">
        <x:f t="shared" si="4"/>
        <x:v>80</x:v>
      </x:c>
      <x:c r="T27" s="5">
        <x:f t="shared" si="5"/>
        <x:v>30</x:v>
      </x:c>
      <x:c r="U27" s="5">
        <x:f t="shared" si="6"/>
        <x:v>30</x:v>
      </x:c>
      <x:c r="V27" s="5">
        <x:f t="shared" si="7"/>
        <x:v>0</x:v>
      </x:c>
      <x:c r="W27" s="5">
        <x:f t="shared" si="8"/>
        <x:v>20</x:v>
      </x:c>
      <x:c r="X27" s="7">
        <x:f t="shared" si="9"/>
        <x:v>160</x:v>
      </x:c>
      <x:c r="Y27" s="7">
        <x:f t="shared" si="10"/>
        <x:v>2</x:v>
      </x:c>
      <x:c r="Z27" s="4">
        <x:f t="shared" si="11"/>
        <x:v>0</x:v>
      </x:c>
      <x:c r="AA27" s="2">
        <x:f t="shared" si="12"/>
        <x:v>0</x:v>
      </x:c>
    </x:row>
    <x:row r="28" spans="1:27" s="7" customFormat="1">
      <x:c r="A28" s="9" t="s">
        <x:v>361</x:v>
      </x:c>
      <x:c r="B28" s="7" t="s">
        <x:v>140</x:v>
      </x:c>
      <x:c r="C28" s="7" t="s">
        <x:v>191</x:v>
      </x:c>
      <x:c r="D28" s="7" t="s">
        <x:v>340</x:v>
      </x:c>
      <x:c r="E28" s="7">
        <x:v>0</x:v>
      </x:c>
      <x:c r="F28" s="7">
        <x:v>70</x:v>
      </x:c>
      <x:c r="G28" s="7" t="s">
        <x:v>163</x:v>
      </x:c>
      <x:c r="H28" s="7" t="s">
        <x:v>188</x:v>
      </x:c>
      <x:c r="I28" s="7" t="s">
        <x:v>220</x:v>
      </x:c>
      <x:c r="J28" s="7" t="s">
        <x:v>195</x:v>
      </x:c>
      <x:c r="K28" s="7" t="s">
        <x:v>195</x:v>
      </x:c>
      <x:c r="L28" s="7" t="s">
        <x:v>195</x:v>
      </x:c>
      <x:c r="M28" s="7" t="s">
        <x:v>199</x:v>
      </x:c>
      <x:c r="N28" s="9" t="s">
        <x:v>199</x:v>
      </x:c>
      <x:c r="O28" s="9" t="str">
        <x:f t="shared" si="0"/>
        <x:v>N</x:v>
      </x:c>
      <x:c r="P28" s="7">
        <x:f t="shared" si="1"/>
        <x:v>20</x:v>
      </x:c>
      <x:c r="Q28" s="7">
        <x:f t="shared" si="2"/>
        <x:v>-20</x:v>
      </x:c>
      <x:c r="R28" s="9">
        <x:f t="shared" si="3"/>
        <x:v>-10</x:v>
      </x:c>
      <x:c r="S28" s="9">
        <x:f t="shared" si="4"/>
        <x:v>-10</x:v>
      </x:c>
      <x:c r="T28" s="5">
        <x:f t="shared" si="5"/>
        <x:v>10</x:v>
      </x:c>
      <x:c r="U28" s="5">
        <x:f t="shared" si="6"/>
        <x:v>0</x:v>
      </x:c>
      <x:c r="V28" s="5">
        <x:f t="shared" si="7"/>
        <x:v>0</x:v>
      </x:c>
      <x:c r="W28" s="5">
        <x:f t="shared" si="8"/>
        <x:v>0</x:v>
      </x:c>
      <x:c r="X28" s="7">
        <x:f t="shared" si="9"/>
        <x:v>0</x:v>
      </x:c>
      <x:c r="Y28" s="7">
        <x:f t="shared" si="10"/>
        <x:v>25</x:v>
      </x:c>
      <x:c r="Z28" s="4">
        <x:f t="shared" si="11"/>
        <x:v>0</x:v>
      </x:c>
      <x:c r="AA28" s="2">
        <x:f t="shared" si="12"/>
        <x:v>0</x:v>
      </x:c>
    </x:row>
    <x:row r="29" spans="1:27" s="7" customFormat="1">
      <x:c r="A29" s="9" t="s">
        <x:v>234</x:v>
      </x:c>
      <x:c r="B29" s="7" t="s">
        <x:v>19</x:v>
      </x:c>
      <x:c r="C29" s="7" t="s">
        <x:v>191</x:v>
      </x:c>
      <x:c r="D29" s="7" t="s">
        <x:v>316</x:v>
      </x:c>
      <x:c r="E29" s="7">
        <x:v>15</x:v>
      </x:c>
      <x:c r="F29" s="7">
        <x:v>70</x:v>
      </x:c>
      <x:c r="G29" s="7" t="s">
        <x:v>213</x:v>
      </x:c>
      <x:c r="H29" s="7" t="s">
        <x:v>260</x:v>
      </x:c>
      <x:c r="I29" s="7" t="s">
        <x:v>220</x:v>
      </x:c>
      <x:c r="J29" s="7" t="s">
        <x:v>220</x:v>
      </x:c>
      <x:c r="K29" s="7" t="s">
        <x:v>220</x:v>
      </x:c>
      <x:c r="L29" s="7" t="s">
        <x:v>220</x:v>
      </x:c>
      <x:c r="M29" s="7" t="s">
        <x:v>213</x:v>
      </x:c>
      <x:c r="N29" s="9" t="s">
        <x:v>213</x:v>
      </x:c>
      <x:c r="O29" s="9" t="str">
        <x:f t="shared" si="0"/>
        <x:v>N</x:v>
      </x:c>
      <x:c r="P29" s="7">
        <x:f t="shared" si="1"/>
        <x:v>20</x:v>
      </x:c>
      <x:c r="Q29" s="7">
        <x:f t="shared" si="2"/>
        <x:v>40</x:v>
      </x:c>
      <x:c r="R29" s="9">
        <x:f t="shared" si="3"/>
        <x:v>-10</x:v>
      </x:c>
      <x:c r="S29" s="9">
        <x:f t="shared" si="4"/>
        <x:v>50</x:v>
      </x:c>
      <x:c r="T29" s="5">
        <x:f t="shared" si="5"/>
        <x:v>10</x:v>
      </x:c>
      <x:c r="U29" s="5">
        <x:f t="shared" si="6"/>
        <x:v>30</x:v>
      </x:c>
      <x:c r="V29" s="5">
        <x:f t="shared" si="7"/>
        <x:v>0</x:v>
      </x:c>
      <x:c r="W29" s="5">
        <x:f t="shared" si="8"/>
        <x:v>20</x:v>
      </x:c>
      <x:c r="X29" s="7">
        <x:f t="shared" si="9"/>
        <x:v>110</x:v>
      </x:c>
      <x:c r="Y29" s="7">
        <x:f t="shared" si="10"/>
        <x:v>9</x:v>
      </x:c>
      <x:c r="Z29" s="4">
        <x:f t="shared" si="11"/>
        <x:v>0</x:v>
      </x:c>
      <x:c r="AA29" s="2">
        <x:f t="shared" si="12"/>
        <x:v>0</x:v>
      </x:c>
    </x:row>
    <x:row r="30" spans="1:27" s="7" customFormat="1">
      <x:c r="A30" s="9" t="s">
        <x:v>269</x:v>
      </x:c>
      <x:c r="B30" s="7" t="s">
        <x:v>43</x:v>
      </x:c>
      <x:c r="C30" s="7" t="s">
        <x:v>191</x:v>
      </x:c>
      <x:c r="D30" s="7" t="s">
        <x:v>270</x:v>
      </x:c>
      <x:c r="E30" s="7">
        <x:v>20</x:v>
      </x:c>
      <x:c r="F30" s="7">
        <x:v>60</x:v>
      </x:c>
      <x:c r="G30" s="7" t="s">
        <x:v>163</x:v>
      </x:c>
      <x:c r="H30" s="7" t="s">
        <x:v>188</x:v>
      </x:c>
      <x:c r="I30" s="7" t="s">
        <x:v>195</x:v>
      </x:c>
      <x:c r="J30" s="7" t="s">
        <x:v>220</x:v>
      </x:c>
      <x:c r="K30" s="7" t="s">
        <x:v>220</x:v>
      </x:c>
      <x:c r="L30" s="7" t="s">
        <x:v>220</x:v>
      </x:c>
      <x:c r="M30" s="7" t="s">
        <x:v>216</x:v>
      </x:c>
      <x:c r="N30" s="9" t="s">
        <x:v>254</x:v>
      </x:c>
      <x:c r="O30" s="9" t="str">
        <x:f t="shared" si="0"/>
        <x:v>N</x:v>
      </x:c>
      <x:c r="P30" s="7">
        <x:f t="shared" si="1"/>
        <x:v>20</x:v>
      </x:c>
      <x:c r="Q30" s="7">
        <x:f t="shared" si="2"/>
        <x:v>40</x:v>
      </x:c>
      <x:c r="R30" s="9">
        <x:f t="shared" si="3"/>
        <x:v>20</x:v>
      </x:c>
      <x:c r="S30" s="9">
        <x:f t="shared" si="4"/>
        <x:v>80</x:v>
      </x:c>
      <x:c r="T30" s="5">
        <x:f t="shared" si="5"/>
        <x:v>30</x:v>
      </x:c>
      <x:c r="U30" s="5">
        <x:f t="shared" si="6"/>
        <x:v>30</x:v>
      </x:c>
      <x:c r="V30" s="5">
        <x:f t="shared" si="7"/>
        <x:v>0</x:v>
      </x:c>
      <x:c r="W30" s="5">
        <x:f t="shared" si="8"/>
        <x:v>20</x:v>
      </x:c>
      <x:c r="X30" s="7">
        <x:f t="shared" si="9"/>
        <x:v>160</x:v>
      </x:c>
      <x:c r="Y30" s="7">
        <x:f t="shared" si="10"/>
        <x:v>2</x:v>
      </x:c>
      <x:c r="Z30" s="4">
        <x:f t="shared" si="11"/>
        <x:v>0</x:v>
      </x:c>
      <x:c r="AA30" s="2">
        <x:f t="shared" si="12"/>
        <x:v>0</x:v>
      </x:c>
    </x:row>
    <x:row r="31" spans="1:27" s="7" customFormat="1">
      <x:c r="A31" s="9" t="s">
        <x:v>281</x:v>
      </x:c>
      <x:c r="B31" s="7" t="s">
        <x:v>16</x:v>
      </x:c>
      <x:c r="C31" s="7" t="s">
        <x:v>191</x:v>
      </x:c>
      <x:c r="D31" s="7" t="s">
        <x:v>270</x:v>
      </x:c>
      <x:c r="E31" s="7">
        <x:v>61</x:v>
      </x:c>
      <x:c r="F31" s="7">
        <x:v>90</x:v>
      </x:c>
      <x:c r="G31" s="7" t="s">
        <x:v>237</x:v>
      </x:c>
      <x:c r="H31" s="7" t="s">
        <x:v>188</x:v>
      </x:c>
      <x:c r="I31" s="7" t="s">
        <x:v>195</x:v>
      </x:c>
      <x:c r="J31" s="7" t="s">
        <x:v>195</x:v>
      </x:c>
      <x:c r="K31" s="7" t="s">
        <x:v>195</x:v>
      </x:c>
      <x:c r="L31" s="7" t="s">
        <x:v>195</x:v>
      </x:c>
      <x:c r="M31" s="7" t="s">
        <x:v>216</x:v>
      </x:c>
      <x:c r="N31" s="9" t="s">
        <x:v>212</x:v>
      </x:c>
      <x:c r="O31" s="9" t="str">
        <x:f t="shared" si="0"/>
        <x:v>Y</x:v>
      </x:c>
      <x:c r="P31" s="7">
        <x:f t="shared" si="1"/>
        <x:v>-999</x:v>
      </x:c>
      <x:c r="Q31" s="7">
        <x:f t="shared" si="2"/>
        <x:v>-999</x:v>
      </x:c>
      <x:c r="R31" s="9">
        <x:f t="shared" si="3"/>
        <x:v>-999</x:v>
      </x:c>
      <x:c r="S31" s="9">
        <x:f t="shared" si="4"/>
        <x:v>-2997</x:v>
      </x:c>
      <x:c r="T31" s="5">
        <x:f t="shared" si="5"/>
        <x:v>0</x:v>
      </x:c>
      <x:c r="U31" s="5">
        <x:f t="shared" si="6"/>
        <x:v>0</x:v>
      </x:c>
      <x:c r="V31" s="5">
        <x:f t="shared" si="7"/>
        <x:v>0</x:v>
      </x:c>
      <x:c r="W31" s="5">
        <x:f t="shared" si="8"/>
        <x:v>0</x:v>
      </x:c>
      <x:c r="X31" s="7">
        <x:f t="shared" si="9"/>
        <x:v>-999</x:v>
      </x:c>
      <x:c r="Y31" s="7" t="str">
        <x:f t="shared" si="10"/>
        <x:v>제외</x:v>
      </x:c>
      <x:c r="Z31" s="4">
        <x:f t="shared" si="11"/>
        <x:v>0</x:v>
      </x:c>
      <x:c r="AA31" s="2">
        <x:f t="shared" si="12"/>
        <x:v>0</x:v>
      </x:c>
    </x:row>
    <x:row r="32" spans="1:27" s="7" customFormat="1">
      <x:c r="A32" s="9" t="s">
        <x:v>256</x:v>
      </x:c>
      <x:c r="B32" s="7" t="s">
        <x:v>18</x:v>
      </x:c>
      <x:c r="C32" s="7" t="s">
        <x:v>191</x:v>
      </x:c>
      <x:c r="D32" s="7" t="s">
        <x:v>270</x:v>
      </x:c>
      <x:c r="E32" s="7">
        <x:v>0</x:v>
      </x:c>
      <x:c r="F32" s="7">
        <x:v>70</x:v>
      </x:c>
      <x:c r="G32" s="7" t="s">
        <x:v>237</x:v>
      </x:c>
      <x:c r="H32" s="7" t="s">
        <x:v>188</x:v>
      </x:c>
      <x:c r="I32" s="7" t="s">
        <x:v>195</x:v>
      </x:c>
      <x:c r="J32" s="7" t="s">
        <x:v>195</x:v>
      </x:c>
      <x:c r="K32" s="7" t="s">
        <x:v>195</x:v>
      </x:c>
      <x:c r="L32" s="7" t="s">
        <x:v>195</x:v>
      </x:c>
      <x:c r="M32" s="7" t="s">
        <x:v>216</x:v>
      </x:c>
      <x:c r="N32" s="9" t="s">
        <x:v>212</x:v>
      </x:c>
      <x:c r="O32" s="9" t="str">
        <x:f t="shared" si="0"/>
        <x:v>N</x:v>
      </x:c>
      <x:c r="P32" s="7">
        <x:f t="shared" si="1"/>
        <x:v>20</x:v>
      </x:c>
      <x:c r="Q32" s="7">
        <x:f t="shared" si="2"/>
        <x:v>-20</x:v>
      </x:c>
      <x:c r="R32" s="9">
        <x:f t="shared" si="3"/>
        <x:v>30</x:v>
      </x:c>
      <x:c r="S32" s="9">
        <x:f t="shared" si="4"/>
        <x:v>30</x:v>
      </x:c>
      <x:c r="T32" s="5">
        <x:f t="shared" si="5"/>
        <x:v>30</x:v>
      </x:c>
      <x:c r="U32" s="5">
        <x:f t="shared" si="6"/>
        <x:v>0</x:v>
      </x:c>
      <x:c r="V32" s="5">
        <x:f t="shared" si="7"/>
        <x:v>0</x:v>
      </x:c>
      <x:c r="W32" s="5">
        <x:f t="shared" si="8"/>
        <x:v>0</x:v>
      </x:c>
      <x:c r="X32" s="7">
        <x:f t="shared" si="9"/>
        <x:v>60</x:v>
      </x:c>
      <x:c r="Y32" s="7">
        <x:f t="shared" si="10"/>
        <x:v>17</x:v>
      </x:c>
      <x:c r="Z32" s="4">
        <x:f t="shared" si="11"/>
        <x:v>0</x:v>
      </x:c>
      <x:c r="AA32" s="2">
        <x:f t="shared" si="12"/>
        <x:v>0</x:v>
      </x:c>
    </x:row>
    <x:row r="33" spans="18:23" s="7" customFormat="1">
      <x:c r="R33" s="9"/>
      <x:c r="S33" s="9"/>
      <x:c r="T33" s="5"/>
      <x:c r="U33" s="5"/>
      <x:c r="V33" s="5"/>
      <x:c r="W33" s="5"/>
    </x:row>
    <x:row r="35" spans="3:4">
      <x:c r="C35" s="1" t="s">
        <x:v>202</x:v>
      </x:c>
      <x:c r="D35" s="8">
        <x:v>45</x:v>
      </x:c>
    </x:row>
    <x:row r="36" spans="3:4">
      <x:c r="C36" s="1" t="s">
        <x:v>187</x:v>
      </x:c>
      <x:c r="D36" s="8" t="s">
        <x:v>227</x:v>
      </x:c>
    </x:row>
    <x:row r="37" spans="3:4">
      <x:c r="C37" s="1" t="s">
        <x:v>294</x:v>
      </x:c>
      <x:c r="D37" s="8" t="s">
        <x:v>173</x:v>
      </x:c>
    </x:row>
    <x:row r="38" spans="1:4">
      <x:c r="A38" s="7" t="s">
        <x:v>362</x:v>
      </x:c>
      <x:c r="B38" s="7"/>
      <x:c r="C38" s="7" t="s">
        <x:v>232</x:v>
      </x:c>
      <x:c r="D38" s="7" t="s">
        <x:v>364</x:v>
      </x:c>
    </x:row>
    <x:row r="39" spans="1:4">
      <x:c r="A39" s="7" t="s">
        <x:v>357</x:v>
      </x:c>
      <x:c r="B39" s="7" t="s">
        <x:v>197</x:v>
      </x:c>
      <x:c r="C39" s="7" t="s">
        <x:v>249</x:v>
      </x:c>
      <x:c r="D39" s="7" t="s">
        <x:v>223</x:v>
      </x:c>
    </x:row>
    <x:row r="40" spans="1:10">
      <x:c r="A40" s="7" t="s">
        <x:v>210</x:v>
      </x:c>
      <x:c r="B40" s="7" t="s">
        <x:v>333</x:v>
      </x:c>
      <x:c r="C40" s="7" t="s">
        <x:v>255</x:v>
      </x:c>
      <x:c r="D40" s="9" t="s">
        <x:v>226</x:v>
      </x:c>
      <x:c r="H40" s="4" t="s">
        <x:v>226</x:v>
      </x:c>
      <x:c r="I40" s="2" t="s">
        <x:v>195</x:v>
      </x:c>
      <x:c r="J40" s="1" t="s">
        <x:v>189</x:v>
      </x:c>
    </x:row>
    <x:row r="41" spans="1:10">
      <x:c r="A41" s="7" t="s">
        <x:v>228</x:v>
      </x:c>
      <x:c r="B41" s="7" t="s">
        <x:v>333</x:v>
      </x:c>
      <x:c r="C41" s="3" t="s">
        <x:v>344</x:v>
      </x:c>
      <x:c r="D41" s="7" t="s">
        <x:v>220</x:v>
      </x:c>
      <x:c r="H41" s="4" t="s">
        <x:v>193</x:v>
      </x:c>
      <x:c r="I41" s="2" t="s">
        <x:v>220</x:v>
      </x:c>
      <x:c r="J41" s="1" t="s">
        <x:v>223</x:v>
      </x:c>
    </x:row>
    <x:row r="42" spans="1:10">
      <x:c r="A42" s="7" t="s">
        <x:v>272</x:v>
      </x:c>
      <x:c r="B42" s="7" t="s">
        <x:v>333</x:v>
      </x:c>
      <x:c r="D42" s="7"/>
      <x:c r="H42" s="4" t="s">
        <x:v>219</x:v>
      </x:c>
      <x:c r="J42" s="1" t="s">
        <x:v>214</x:v>
      </x:c>
    </x:row>
    <x:row r="43" spans="1:10">
      <x:c r="A43" s="7" t="s">
        <x:v>305</x:v>
      </x:c>
      <x:c r="B43" s="7" t="s">
        <x:v>376</x:v>
      </x:c>
      <x:c r="D43" s="7"/>
      <x:c r="H43" s="4" t="s">
        <x:v>209</x:v>
      </x:c>
      <x:c r="J43" s="1" t="s">
        <x:v>217</x:v>
      </x:c>
    </x:row>
    <x:row r="44" spans="8:10">
      <x:c r="H44" s="4" t="s">
        <x:v>190</x:v>
      </x:c>
      <x:c r="J44" s="1" t="s">
        <x:v>199</x:v>
      </x:c>
    </x:row>
    <x:row r="45" spans="8:8">
      <x:c r="H45" s="4" t="s">
        <x:v>312</x:v>
      </x:c>
    </x:row>
    <x:row r="46" spans="8:8">
      <x:c r="H46" s="4" t="s">
        <x:v>215</x:v>
      </x:c>
    </x:row>
    <x:row r="47" spans="8:8">
      <x:c r="H47" s="4" t="s">
        <x:v>286</x:v>
      </x:c>
    </x:row>
    <x:row r="48" spans="8:8">
      <x:c r="H48" s="4" t="s">
        <x:v>267</x:v>
      </x:c>
    </x:row>
  </x:sheetData>
  <x:dataValidations count="3">
    <x:dataValidation type="list" operator="equal" allowBlank="1" showInputMessage="1" showErrorMessage="1" sqref="D40:D40">
      <x:formula1>$H$40:$H$48</x:formula1>
    </x:dataValidation>
    <x:dataValidation type="list" operator="equal" allowBlank="1" showInputMessage="1" showErrorMessage="1" sqref="D41:D41">
      <x:formula1>$I$40:$I$41</x:formula1>
    </x:dataValidation>
    <x:dataValidation type="list" operator="equal" allowBlank="1" showInputMessage="1" showErrorMessage="1" sqref="D39:D39">
      <x:formula1>$J$40:$J$44</x:formula1>
    </x:dataValidation>
  </x:dataValidations>
  <x:pageMargins left="0.74805557727813721" right="0.74805557727813721" top="0.1354166716337204" bottom="0.1098611131310463" header="0.51138889789581299" footer="0.51138889789581299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K32"/>
  <x:sheetViews>
    <x:sheetView tabSelected="1" topLeftCell="A1" zoomScaleNormal="100" zoomScaleSheetLayoutView="75" workbookViewId="0">
      <x:selection activeCell="B11" activeCellId="0" sqref="B11:B11"/>
    </x:sheetView>
  </x:sheetViews>
  <x:sheetFormatPr defaultColWidth="9.00390625" defaultRowHeight="16.399999999999999"/>
  <x:cols>
    <x:col min="1" max="1" width="20.875" style="13" customWidth="1"/>
    <x:col min="2" max="2" width="37.96875" style="13" bestFit="1" customWidth="1"/>
    <x:col min="3" max="3" width="41.63671875" style="13" bestFit="1" customWidth="1"/>
    <x:col min="4" max="4" width="41.3828125" style="13" bestFit="1" customWidth="1"/>
    <x:col min="5" max="5" width="22.01953125" style="13" bestFit="1" customWidth="1"/>
    <x:col min="6" max="6" width="23.91796875" style="13" bestFit="1" customWidth="1"/>
    <x:col min="7" max="7" width="9.00390625" style="13"/>
    <x:col min="8" max="8" width="24.75" style="13" customWidth="1"/>
    <x:col min="9" max="9" width="33.7890625" style="13" bestFit="1" customWidth="1"/>
    <x:col min="10" max="10" width="33.02734375" style="13" bestFit="1" customWidth="1"/>
    <x:col min="11" max="11" width="10.5" style="13" bestFit="1" customWidth="1"/>
    <x:col min="12" max="16384" width="9.00390625" style="13"/>
  </x:cols>
  <x:sheetData>
    <x:row r="1" spans="1:11">
      <x:c r="A1" s="13" t="s">
        <x:v>251</x:v>
      </x:c>
      <x:c r="B1" s="13" t="s">
        <x:v>201</x:v>
      </x:c>
      <x:c r="C1" s="13" t="s">
        <x:v>351</x:v>
      </x:c>
      <x:c r="D1" s="13" t="s">
        <x:v>211</x:v>
      </x:c>
      <x:c r="E1" s="13" t="s">
        <x:v>335</x:v>
      </x:c>
      <x:c r="F1" s="13" t="s">
        <x:v>342</x:v>
      </x:c>
      <x:c r="G1" s="13" t="s">
        <x:v>262</x:v>
      </x:c>
      <x:c r="H1" s="13" t="s">
        <x:v>358</x:v>
      </x:c>
      <x:c r="I1" s="13" t="s">
        <x:v>328</x:v>
      </x:c>
      <x:c r="J1" s="13" t="s">
        <x:v>271</x:v>
      </x:c>
      <x:c r="K1" s="13" t="s">
        <x:v>198</x:v>
      </x:c>
    </x:row>
    <x:row r="2" spans="1:11">
      <x:c r="A2" s="13" t="s">
        <x:v>290</x:v>
      </x:c>
      <x:c r="B2" s="13" t="s">
        <x:v>10</x:v>
      </x:c>
      <x:c r="C2" s="13" t="s">
        <x:v>80</x:v>
      </x:c>
      <x:c r="D2" s="13" t="s">
        <x:v>0</x:v>
      </x:c>
      <x:c r="E2" s="13" t="s">
        <x:v>356</x:v>
      </x:c>
      <x:c r="F2" s="13" t="s">
        <x:v>167</x:v>
      </x:c>
      <x:c r="G2" s="13" t="s">
        <x:v>343</x:v>
      </x:c>
      <x:c r="H2" s="13" t="s">
        <x:v>175</x:v>
      </x:c>
      <x:c r="I2" s="13" t="s">
        <x:v>8</x:v>
      </x:c>
      <x:c r="J2" s="13" t="s">
        <x:v>61</x:v>
      </x:c>
      <x:c r="K2" s="13" t="s">
        <x:v>303</x:v>
      </x:c>
    </x:row>
    <x:row r="3" spans="1:11">
      <x:c r="A3" s="13" t="s">
        <x:v>233</x:v>
      </x:c>
      <x:c r="B3" s="13" t="s">
        <x:v>96</x:v>
      </x:c>
      <x:c r="C3" s="13" t="s">
        <x:v>159</x:v>
      </x:c>
      <x:c r="D3" s="13" t="s">
        <x:v>127</x:v>
      </x:c>
      <x:c r="E3" s="13" t="s">
        <x:v>112</x:v>
      </x:c>
      <x:c r="F3" s="13" t="s">
        <x:v>339</x:v>
      </x:c>
      <x:c r="G3" s="13" t="s">
        <x:v>367</x:v>
      </x:c>
      <x:c r="H3" s="13" t="s">
        <x:v>206</x:v>
      </x:c>
      <x:c r="I3" s="13" t="s">
        <x:v>128</x:v>
      </x:c>
      <x:c r="J3" s="13" t="s">
        <x:v>49</x:v>
      </x:c>
      <x:c r="K3" s="13" t="s">
        <x:v>303</x:v>
      </x:c>
    </x:row>
    <x:row r="4" spans="1:11">
      <x:c r="A4" s="13" t="s">
        <x:v>170</x:v>
      </x:c>
      <x:c r="B4" s="13" t="s">
        <x:v>5</x:v>
      </x:c>
      <x:c r="C4" s="13" t="s">
        <x:v>84</x:v>
      </x:c>
      <x:c r="D4" s="13" t="s">
        <x:v>179</x:v>
      </x:c>
      <x:c r="E4" s="13" t="s">
        <x:v>338</x:v>
      </x:c>
      <x:c r="F4" s="13" t="s">
        <x:v>172</x:v>
      </x:c>
      <x:c r="G4" s="13" t="s">
        <x:v>343</x:v>
      </x:c>
      <x:c r="H4" s="13" t="s">
        <x:v>175</x:v>
      </x:c>
      <x:c r="I4" s="13" t="s">
        <x:v>126</x:v>
      </x:c>
      <x:c r="J4" s="13" t="s">
        <x:v>65</x:v>
      </x:c>
      <x:c r="K4" s="13" t="s">
        <x:v>303</x:v>
      </x:c>
    </x:row>
    <x:row r="5" spans="1:11">
      <x:c r="A5" s="13" t="s">
        <x:v>365</x:v>
      </x:c>
      <x:c r="B5" s="13" t="s">
        <x:v>97</x:v>
      </x:c>
      <x:c r="C5" s="13" t="s">
        <x:v>79</x:v>
      </x:c>
      <x:c r="D5" s="13" t="s">
        <x:v>26</x:v>
      </x:c>
      <x:c r="E5" s="13" t="s">
        <x:v>142</x:v>
      </x:c>
      <x:c r="F5" s="13" t="s">
        <x:v>298</x:v>
      </x:c>
      <x:c r="G5" s="13" t="s">
        <x:v>319</x:v>
      </x:c>
      <x:c r="H5" s="13" t="s">
        <x:v>268</x:v>
      </x:c>
      <x:c r="I5" s="13" t="s">
        <x:v>114</x:v>
      </x:c>
      <x:c r="J5" s="13" t="s">
        <x:v>12</x:v>
      </x:c>
      <x:c r="K5" s="13" t="s">
        <x:v>303</x:v>
      </x:c>
    </x:row>
    <x:row r="6" spans="1:11">
      <x:c r="A6" s="13" t="s">
        <x:v>330</x:v>
      </x:c>
      <x:c r="B6" s="13" t="s">
        <x:v>11</x:v>
      </x:c>
      <x:c r="C6" s="13" t="s">
        <x:v>85</x:v>
      </x:c>
      <x:c r="D6" s="13" t="s">
        <x:v>102</x:v>
      </x:c>
      <x:c r="E6" s="13" t="s">
        <x:v>370</x:v>
      </x:c>
      <x:c r="F6" s="13" t="s">
        <x:v>244</x:v>
      </x:c>
      <x:c r="G6" s="13" t="s">
        <x:v>343</x:v>
      </x:c>
      <x:c r="H6" s="13" t="s">
        <x:v>180</x:v>
      </x:c>
      <x:c r="I6" s="13" t="s">
        <x:v>63</x:v>
      </x:c>
      <x:c r="J6" s="13" t="s">
        <x:v>108</x:v>
      </x:c>
      <x:c r="K6" s="13" t="s">
        <x:v>303</x:v>
      </x:c>
    </x:row>
    <x:row r="7" spans="1:11">
      <x:c r="A7" s="13" t="s">
        <x:v>372</x:v>
      </x:c>
      <x:c r="B7" s="13" t="s">
        <x:v>25</x:v>
      </x:c>
      <x:c r="C7" s="13" t="s">
        <x:v>85</x:v>
      </x:c>
      <x:c r="D7" s="13" t="s">
        <x:v>102</x:v>
      </x:c>
      <x:c r="E7" s="13" t="s">
        <x:v>284</x:v>
      </x:c>
      <x:c r="F7" s="13" t="s">
        <x:v>244</x:v>
      </x:c>
      <x:c r="G7" s="13" t="s">
        <x:v>343</x:v>
      </x:c>
      <x:c r="H7" s="13" t="s">
        <x:v>175</x:v>
      </x:c>
      <x:c r="I7" s="13" t="s">
        <x:v>74</x:v>
      </x:c>
      <x:c r="J7" s="13" t="s">
        <x:v>134</x:v>
      </x:c>
      <x:c r="K7" s="13" t="s">
        <x:v>303</x:v>
      </x:c>
    </x:row>
    <x:row r="8" spans="1:11">
      <x:c r="A8" s="13" t="s">
        <x:v>287</x:v>
      </x:c>
      <x:c r="B8" s="13" t="s">
        <x:v>15</x:v>
      </x:c>
      <x:c r="C8" s="13" t="s">
        <x:v>115</x:v>
      </x:c>
      <x:c r="D8" s="13" t="s">
        <x:v>139</x:v>
      </x:c>
      <x:c r="E8" s="13" t="s">
        <x:v>350</x:v>
      </x:c>
      <x:c r="F8" s="13" t="s">
        <x:v>155</x:v>
      </x:c>
      <x:c r="G8" s="13" t="s">
        <x:v>206</x:v>
      </x:c>
      <x:c r="H8" s="13" t="s">
        <x:v>206</x:v>
      </x:c>
      <x:c r="I8" s="13" t="s">
        <x:v>135</x:v>
      </x:c>
      <x:c r="J8" s="13" t="s">
        <x:v>44</x:v>
      </x:c>
      <x:c r="K8" s="13" t="s">
        <x:v>303</x:v>
      </x:c>
    </x:row>
    <x:row r="9" spans="1:11">
      <x:c r="A9" s="13" t="s">
        <x:v>327</x:v>
      </x:c>
      <x:c r="B9" s="13" t="s">
        <x:v>28</x:v>
      </x:c>
      <x:c r="C9" s="13" t="s">
        <x:v>124</x:v>
      </x:c>
      <x:c r="D9" s="13" t="s">
        <x:v>178</x:v>
      </x:c>
      <x:c r="E9" s="13" t="s">
        <x:v>377</x:v>
      </x:c>
      <x:c r="F9" s="13" t="s">
        <x:v>183</x:v>
      </x:c>
      <x:c r="G9" s="13" t="s">
        <x:v>206</x:v>
      </x:c>
      <x:c r="H9" s="13" t="s">
        <x:v>206</x:v>
      </x:c>
      <x:c r="I9" s="13" t="s">
        <x:v>149</x:v>
      </x:c>
      <x:c r="J9" s="13" t="s">
        <x:v>154</x:v>
      </x:c>
      <x:c r="K9" s="13" t="s">
        <x:v>303</x:v>
      </x:c>
    </x:row>
    <x:row r="10" spans="1:11">
      <x:c r="A10" s="13" t="s">
        <x:v>353</x:v>
      </x:c>
      <x:c r="B10" s="13" t="s">
        <x:v>123</x:v>
      </x:c>
      <x:c r="C10" s="13" t="s">
        <x:v>385</x:v>
      </x:c>
      <x:c r="D10" s="13" t="s">
        <x:v>21</x:v>
      </x:c>
      <x:c r="E10" s="13" t="s">
        <x:v>356</x:v>
      </x:c>
      <x:c r="F10" s="13" t="s">
        <x:v>71</x:v>
      </x:c>
      <x:c r="G10" s="13" t="s">
        <x:v>206</x:v>
      </x:c>
      <x:c r="H10" s="13" t="s">
        <x:v>175</x:v>
      </x:c>
      <x:c r="I10" s="13" t="s">
        <x:v>138</x:v>
      </x:c>
      <x:c r="J10" s="13" t="s">
        <x:v>34</x:v>
      </x:c>
      <x:c r="K10" s="13" t="s">
        <x:v>303</x:v>
      </x:c>
    </x:row>
    <x:row r="11" spans="1:11">
      <x:c r="A11" s="13" t="s">
        <x:v>275</x:v>
      </x:c>
      <x:c r="B11" s="13" t="s">
        <x:v>129</x:v>
      </x:c>
      <x:c r="C11" s="13" t="s">
        <x:v>88</x:v>
      </x:c>
      <x:c r="D11" s="13" t="s">
        <x:v>90</x:v>
      </x:c>
      <x:c r="E11" s="13" t="s">
        <x:v>309</x:v>
      </x:c>
      <x:c r="F11" s="13" t="s">
        <x:v>383</x:v>
      </x:c>
      <x:c r="G11" s="13" t="s">
        <x:v>206</x:v>
      </x:c>
      <x:c r="H11" s="13" t="s">
        <x:v>175</x:v>
      </x:c>
      <x:c r="I11" s="13" t="s">
        <x:v>51</x:v>
      </x:c>
      <x:c r="J11" s="13" t="s">
        <x:v>30</x:v>
      </x:c>
      <x:c r="K11" s="13" t="s">
        <x:v>303</x:v>
      </x:c>
    </x:row>
    <x:row r="12" spans="1:11">
      <x:c r="A12" s="13" t="s">
        <x:v>301</x:v>
      </x:c>
      <x:c r="B12" s="13" t="s">
        <x:v>95</x:v>
      </x:c>
      <x:c r="C12" s="13" t="s">
        <x:v>14</x:v>
      </x:c>
      <x:c r="D12" s="13" t="s">
        <x:v>82</x:v>
      </x:c>
      <x:c r="E12" s="13" t="s">
        <x:v>370</x:v>
      </x:c>
      <x:c r="F12" s="13" t="s">
        <x:v>225</x:v>
      </x:c>
      <x:c r="G12" s="13" t="s">
        <x:v>206</x:v>
      </x:c>
      <x:c r="H12" s="13" t="s">
        <x:v>175</x:v>
      </x:c>
      <x:c r="I12" s="13" t="s">
        <x:v>110</x:v>
      </x:c>
      <x:c r="J12" s="13" t="s">
        <x:v>29</x:v>
      </x:c>
      <x:c r="K12" s="13" t="s">
        <x:v>303</x:v>
      </x:c>
    </x:row>
    <x:row r="13" spans="1:11">
      <x:c r="A13" s="13" t="s">
        <x:v>302</x:v>
      </x:c>
      <x:c r="B13" s="13" t="s">
        <x:v>22</x:v>
      </x:c>
      <x:c r="C13" s="13" t="s">
        <x:v>24</x:v>
      </x:c>
      <x:c r="D13" s="13" t="s">
        <x:v>107</x:v>
      </x:c>
      <x:c r="E13" s="13" t="s">
        <x:v>332</x:v>
      </x:c>
      <x:c r="F13" s="13" t="s">
        <x:v>325</x:v>
      </x:c>
      <x:c r="G13" s="13" t="s">
        <x:v>206</x:v>
      </x:c>
      <x:c r="H13" s="13" t="s">
        <x:v>206</x:v>
      </x:c>
      <x:c r="I13" s="13" t="s">
        <x:v>40</x:v>
      </x:c>
      <x:c r="J13" s="13" t="s">
        <x:v>157</x:v>
      </x:c>
      <x:c r="K13" s="13" t="s">
        <x:v>303</x:v>
      </x:c>
    </x:row>
    <x:row r="14" spans="1:11">
      <x:c r="A14" s="13" t="s">
        <x:v>374</x:v>
      </x:c>
      <x:c r="B14" s="13" t="s">
        <x:v>1</x:v>
      </x:c>
      <x:c r="C14" s="13" t="s">
        <x:v>58</x:v>
      </x:c>
      <x:c r="D14" s="13" t="s">
        <x:v>89</x:v>
      </x:c>
      <x:c r="E14" s="13" t="s">
        <x:v>288</x:v>
      </x:c>
      <x:c r="F14" s="13" t="s">
        <x:v>273</x:v>
      </x:c>
      <x:c r="G14" s="13" t="s">
        <x:v>345</x:v>
      </x:c>
      <x:c r="H14" s="13" t="s">
        <x:v>206</x:v>
      </x:c>
      <x:c r="I14" s="13" t="s">
        <x:v>70</x:v>
      </x:c>
      <x:c r="J14" s="13" t="s">
        <x:v>264</x:v>
      </x:c>
      <x:c r="K14" s="13" t="s">
        <x:v>303</x:v>
      </x:c>
    </x:row>
    <x:row r="15" spans="1:11">
      <x:c r="A15" s="13" t="s">
        <x:v>324</x:v>
      </x:c>
      <x:c r="B15" s="13" t="s">
        <x:v>103</x:v>
      </x:c>
      <x:c r="C15" s="13" t="s">
        <x:v>92</x:v>
      </x:c>
      <x:c r="D15" s="13" t="s">
        <x:v>4</x:v>
      </x:c>
      <x:c r="E15" s="13" t="s">
        <x:v>152</x:v>
      </x:c>
      <x:c r="F15" s="13" t="s">
        <x:v>334</x:v>
      </x:c>
      <x:c r="G15" s="13" t="s">
        <x:v>206</x:v>
      </x:c>
      <x:c r="H15" s="13" t="s">
        <x:v>206</x:v>
      </x:c>
      <x:c r="I15" s="13" t="s">
        <x:v>130</x:v>
      </x:c>
      <x:c r="J15" s="13" t="s">
        <x:v>45</x:v>
      </x:c>
      <x:c r="K15" s="13" t="s">
        <x:v>303</x:v>
      </x:c>
    </x:row>
    <x:row r="16" spans="1:11">
      <x:c r="A16" s="13" t="s">
        <x:v>293</x:v>
      </x:c>
      <x:c r="B16" s="13" t="s">
        <x:v>3</x:v>
      </x:c>
      <x:c r="C16" s="13" t="s">
        <x:v>78</x:v>
      </x:c>
      <x:c r="D16" s="13" t="s">
        <x:v>87</x:v>
      </x:c>
      <x:c r="E16" s="13" t="s">
        <x:v>370</x:v>
      </x:c>
      <x:c r="F16" s="13" t="s">
        <x:v>244</x:v>
      </x:c>
      <x:c r="G16" s="13" t="s">
        <x:v>343</x:v>
      </x:c>
      <x:c r="H16" s="13" t="s">
        <x:v>175</x:v>
      </x:c>
      <x:c r="I16" s="13" t="s">
        <x:v>23</x:v>
      </x:c>
      <x:c r="J16" s="13" t="s">
        <x:v>57</x:v>
      </x:c>
      <x:c r="K16" s="13" t="s">
        <x:v>303</x:v>
      </x:c>
    </x:row>
    <x:row r="17" spans="1:11">
      <x:c r="A17" s="13" t="s">
        <x:v>299</x:v>
      </x:c>
      <x:c r="B17" s="13" t="s">
        <x:v>121</x:v>
      </x:c>
      <x:c r="C17" s="13" t="s">
        <x:v>91</x:v>
      </x:c>
      <x:c r="D17" s="13" t="s">
        <x:v>81</x:v>
      </x:c>
      <x:c r="E17" s="13" t="s">
        <x:v>243</x:v>
      </x:c>
      <x:c r="F17" s="13" t="s">
        <x:v>147</x:v>
      </x:c>
      <x:c r="G17" s="13" t="s">
        <x:v>343</x:v>
      </x:c>
      <x:c r="H17" s="13" t="s">
        <x:v>175</x:v>
      </x:c>
      <x:c r="I17" s="13" t="s">
        <x:v>6</x:v>
      </x:c>
      <x:c r="J17" s="13" t="s">
        <x:v>176</x:v>
      </x:c>
      <x:c r="K17" s="13" t="s">
        <x:v>303</x:v>
      </x:c>
    </x:row>
    <x:row r="18" spans="1:11">
      <x:c r="A18" s="13" t="s">
        <x:v>349</x:v>
      </x:c>
      <x:c r="B18" s="13" t="s">
        <x:v>2</x:v>
      </x:c>
      <x:c r="C18" s="13" t="s">
        <x:v>9</x:v>
      </x:c>
      <x:c r="D18" s="13" t="s">
        <x:v>384</x:v>
      </x:c>
      <x:c r="E18" s="13" t="s">
        <x:v>289</x:v>
      </x:c>
      <x:c r="F18" s="13" t="s">
        <x:v>331</x:v>
      </x:c>
      <x:c r="G18" s="13" t="s">
        <x:v>206</x:v>
      </x:c>
      <x:c r="H18" s="13" t="s">
        <x:v>206</x:v>
      </x:c>
      <x:c r="I18" s="13" t="s">
        <x:v>52</x:v>
      </x:c>
      <x:c r="J18" s="13" t="s">
        <x:v>161</x:v>
      </x:c>
      <x:c r="K18" s="13" t="s">
        <x:v>303</x:v>
      </x:c>
    </x:row>
    <x:row r="19" spans="1:11">
      <x:c r="A19" s="13" t="s">
        <x:v>246</x:v>
      </x:c>
      <x:c r="B19" s="13" t="s">
        <x:v>117</x:v>
      </x:c>
      <x:c r="C19" s="13" t="s">
        <x:v>76</x:v>
      </x:c>
      <x:c r="D19" s="13" t="s">
        <x:v>181</x:v>
      </x:c>
      <x:c r="E19" s="13" t="s">
        <x:v>289</x:v>
      </x:c>
      <x:c r="F19" s="13" t="s">
        <x:v>331</x:v>
      </x:c>
      <x:c r="G19" s="13" t="s">
        <x:v>343</x:v>
      </x:c>
      <x:c r="H19" s="13" t="s">
        <x:v>175</x:v>
      </x:c>
      <x:c r="I19" s="13" t="s">
        <x:v>160</x:v>
      </x:c>
      <x:c r="J19" s="13" t="s">
        <x:v>184</x:v>
      </x:c>
      <x:c r="K19" s="13" t="s">
        <x:v>303</x:v>
      </x:c>
    </x:row>
    <x:row r="20" spans="1:11">
      <x:c r="A20" s="13" t="s">
        <x:v>282</x:v>
      </x:c>
      <x:c r="B20" s="13" t="s">
        <x:v>67</x:v>
      </x:c>
      <x:c r="C20" s="13" t="s">
        <x:v>64</x:v>
      </x:c>
      <x:c r="D20" s="13" t="s">
        <x:v>56</x:v>
      </x:c>
      <x:c r="E20" s="13" t="s">
        <x:v>289</x:v>
      </x:c>
      <x:c r="F20" s="13" t="s">
        <x:v>204</x:v>
      </x:c>
      <x:c r="G20" s="13" t="s">
        <x:v>206</x:v>
      </x:c>
      <x:c r="H20" s="13" t="s">
        <x:v>206</x:v>
      </x:c>
      <x:c r="I20" s="13" t="s">
        <x:v>37</x:v>
      </x:c>
      <x:c r="J20" s="13" t="s">
        <x:v>162</x:v>
      </x:c>
      <x:c r="K20" s="13" t="s">
        <x:v>303</x:v>
      </x:c>
    </x:row>
    <x:row r="21" spans="1:11">
      <x:c r="A21" s="13" t="s">
        <x:v>253</x:v>
      </x:c>
      <x:c r="B21" s="13" t="s">
        <x:v>7</x:v>
      </x:c>
      <x:c r="C21" s="13" t="s">
        <x:v>109</x:v>
      </x:c>
      <x:c r="D21" s="13" t="s">
        <x:v>158</x:v>
      </x:c>
      <x:c r="E21" s="13" t="s">
        <x:v>289</x:v>
      </x:c>
      <x:c r="F21" s="13" t="s">
        <x:v>334</x:v>
      </x:c>
      <x:c r="G21" s="13" t="s">
        <x:v>206</x:v>
      </x:c>
      <x:c r="H21" s="13" t="s">
        <x:v>206</x:v>
      </x:c>
      <x:c r="I21" s="13" t="s">
        <x:v>77</x:v>
      </x:c>
      <x:c r="J21" s="13" t="s">
        <x:v>150</x:v>
      </x:c>
      <x:c r="K21" s="13" t="s">
        <x:v>303</x:v>
      </x:c>
    </x:row>
    <x:row r="22" spans="1:11">
      <x:c r="A22" s="13" t="s">
        <x:v>253</x:v>
      </x:c>
      <x:c r="B22" s="13" t="s">
        <x:v>7</x:v>
      </x:c>
      <x:c r="C22" s="13" t="s">
        <x:v>109</x:v>
      </x:c>
      <x:c r="D22" s="13" t="s">
        <x:v>158</x:v>
      </x:c>
      <x:c r="E22" s="13" t="s">
        <x:v>289</x:v>
      </x:c>
      <x:c r="F22" s="13" t="s">
        <x:v>334</x:v>
      </x:c>
      <x:c r="G22" s="13" t="s">
        <x:v>206</x:v>
      </x:c>
      <x:c r="H22" s="13" t="s">
        <x:v>206</x:v>
      </x:c>
      <x:c r="I22" s="13" t="s">
        <x:v>77</x:v>
      </x:c>
      <x:c r="J22" s="13" t="s">
        <x:v>150</x:v>
      </x:c>
      <x:c r="K22" s="13" t="s">
        <x:v>303</x:v>
      </x:c>
    </x:row>
    <x:row r="23" spans="1:11">
      <x:c r="A23" s="13" t="s">
        <x:v>247</x:v>
      </x:c>
      <x:c r="B23" s="13" t="s">
        <x:v>75</x:v>
      </x:c>
      <x:c r="C23" s="13" t="s">
        <x:v>145</x:v>
      </x:c>
      <x:c r="D23" s="13" t="s">
        <x:v>41</x:v>
      </x:c>
      <x:c r="E23" s="13" t="s">
        <x:v>375</x:v>
      </x:c>
      <x:c r="F23" s="13" t="s">
        <x:v>204</x:v>
      </x:c>
      <x:c r="G23" s="13" t="s">
        <x:v>206</x:v>
      </x:c>
      <x:c r="H23" s="13" t="s">
        <x:v>206</x:v>
      </x:c>
      <x:c r="I23" s="13" t="s">
        <x:v>42</x:v>
      </x:c>
      <x:c r="J23" s="13" t="s">
        <x:v>381</x:v>
      </x:c>
      <x:c r="K23" s="13" t="s">
        <x:v>303</x:v>
      </x:c>
    </x:row>
    <x:row r="24" spans="1:11">
      <x:c r="A24" s="13" t="s">
        <x:v>313</x:v>
      </x:c>
      <x:c r="B24" s="13" t="s">
        <x:v>156</x:v>
      </x:c>
      <x:c r="C24" s="13" t="s">
        <x:v>69</x:v>
      </x:c>
      <x:c r="D24" s="13" t="s">
        <x:v>68</x:v>
      </x:c>
      <x:c r="E24" s="13" t="s">
        <x:v>375</x:v>
      </x:c>
      <x:c r="F24" s="13" t="s">
        <x:v>204</x:v>
      </x:c>
      <x:c r="G24" s="13" t="s">
        <x:v>206</x:v>
      </x:c>
      <x:c r="H24" s="13" t="s">
        <x:v>206</x:v>
      </x:c>
      <x:c r="I24" s="13" t="s">
        <x:v>72</x:v>
      </x:c>
      <x:c r="J24" s="13" t="s">
        <x:v>148</x:v>
      </x:c>
      <x:c r="K24" s="13" t="s">
        <x:v>303</x:v>
      </x:c>
    </x:row>
    <x:row r="25" spans="1:11">
      <x:c r="A25" s="13" t="s">
        <x:v>352</x:v>
      </x:c>
      <x:c r="B25" s="13" t="s">
        <x:v>111</x:v>
      </x:c>
      <x:c r="C25" s="13" t="s">
        <x:v>125</x:v>
      </x:c>
      <x:c r="D25" s="13" t="s">
        <x:v>32</x:v>
      </x:c>
      <x:c r="E25" s="13" t="s">
        <x:v>356</x:v>
      </x:c>
      <x:c r="F25" s="13" t="s">
        <x:v>225</x:v>
      </x:c>
      <x:c r="G25" s="13" t="s">
        <x:v>221</x:v>
      </x:c>
      <x:c r="H25" s="13" t="s">
        <x:v>323</x:v>
      </x:c>
      <x:c r="I25" s="13" t="s">
        <x:v>168</x:v>
      </x:c>
      <x:c r="J25" s="13" t="s">
        <x:v>44</x:v>
      </x:c>
      <x:c r="K25" s="13" t="s">
        <x:v>303</x:v>
      </x:c>
    </x:row>
    <x:row r="26" spans="1:11">
      <x:c r="A26" s="13" t="s">
        <x:v>365</x:v>
      </x:c>
      <x:c r="B26" s="13" t="s">
        <x:v>132</x:v>
      </x:c>
      <x:c r="C26" s="13" t="s">
        <x:v>137</x:v>
      </x:c>
      <x:c r="D26" s="13" t="s">
        <x:v>60</x:v>
      </x:c>
      <x:c r="E26" s="13" t="s">
        <x:v>341</x:v>
      </x:c>
      <x:c r="F26" s="13" t="s">
        <x:v>347</x:v>
      </x:c>
      <x:c r="G26" s="13" t="s">
        <x:v>222</x:v>
      </x:c>
      <x:c r="H26" s="13" t="s">
        <x:v>206</x:v>
      </x:c>
      <x:c r="I26" s="13" t="s">
        <x:v>329</x:v>
      </x:c>
      <x:c r="J26" s="13" t="s">
        <x:v>274</x:v>
      </x:c>
      <x:c r="K26" s="13" t="s">
        <x:v>303</x:v>
      </x:c>
    </x:row>
    <x:row r="27" spans="1:11">
      <x:c r="A27" s="13" t="s">
        <x:v>355</x:v>
      </x:c>
      <x:c r="B27" s="13" t="s">
        <x:v>93</x:v>
      </x:c>
      <x:c r="C27" s="13" t="s">
        <x:v>131</x:v>
      </x:c>
      <x:c r="D27" s="13" t="s">
        <x:v>31</x:v>
      </x:c>
      <x:c r="E27" s="13" t="s">
        <x:v>309</x:v>
      </x:c>
      <x:c r="F27" s="13" t="s">
        <x:v>182</x:v>
      </x:c>
      <x:c r="G27" s="13" t="s">
        <x:v>206</x:v>
      </x:c>
      <x:c r="H27" s="13" t="s">
        <x:v>206</x:v>
      </x:c>
      <x:c r="I27" s="13" t="s">
        <x:v>177</x:v>
      </x:c>
      <x:c r="J27" s="13" t="s">
        <x:v>165</x:v>
      </x:c>
      <x:c r="K27" s="13" t="s">
        <x:v>303</x:v>
      </x:c>
    </x:row>
    <x:row r="28" spans="1:11">
      <x:c r="A28" s="13" t="s">
        <x:v>327</x:v>
      </x:c>
      <x:c r="B28" s="13" t="s">
        <x:v>59</x:v>
      </x:c>
      <x:c r="C28" s="13" t="s">
        <x:v>55</x:v>
      </x:c>
      <x:c r="D28" s="13" t="s">
        <x:v>171</x:v>
      </x:c>
      <x:c r="E28" s="13" t="s">
        <x:v>205</x:v>
      </x:c>
      <x:c r="F28" s="13" t="s">
        <x:v>200</x:v>
      </x:c>
      <x:c r="G28" s="13" t="s">
        <x:v>206</x:v>
      </x:c>
      <x:c r="H28" s="13" t="s">
        <x:v>206</x:v>
      </x:c>
      <x:c r="I28" s="13" t="s">
        <x:v>382</x:v>
      </x:c>
      <x:c r="J28" s="13" t="s">
        <x:v>380</x:v>
      </x:c>
      <x:c r="K28" s="13" t="s">
        <x:v>303</x:v>
      </x:c>
    </x:row>
    <x:row r="29" spans="1:11">
      <x:c r="A29" s="13" t="s">
        <x:v>285</x:v>
      </x:c>
      <x:c r="B29" s="13" t="s">
        <x:v>27</x:v>
      </x:c>
      <x:c r="C29" s="13" t="s">
        <x:v>13</x:v>
      </x:c>
      <x:c r="D29" s="13" t="s">
        <x:v>46</x:v>
      </x:c>
      <x:c r="E29" s="13" t="s">
        <x:v>356</x:v>
      </x:c>
      <x:c r="F29" s="13" t="s">
        <x:v>213</x:v>
      </x:c>
      <x:c r="G29" s="13" t="s">
        <x:v>206</x:v>
      </x:c>
      <x:c r="H29" s="13" t="s">
        <x:v>206</x:v>
      </x:c>
      <x:c r="I29" s="13" t="s">
        <x:v>53</x:v>
      </x:c>
      <x:c r="J29" s="13" t="s">
        <x:v>146</x:v>
      </x:c>
      <x:c r="K29" s="13" t="s">
        <x:v>303</x:v>
      </x:c>
    </x:row>
    <x:row r="30" spans="1:11">
      <x:c r="A30" s="13" t="s">
        <x:v>366</x:v>
      </x:c>
      <x:c r="B30" s="13" t="s">
        <x:v>104</x:v>
      </x:c>
      <x:c r="C30" s="13" t="s">
        <x:v>86</x:v>
      </x:c>
      <x:c r="D30" s="13" t="s">
        <x:v>101</x:v>
      </x:c>
      <x:c r="E30" s="13" t="s">
        <x:v>311</x:v>
      </x:c>
      <x:c r="F30" s="13" t="s">
        <x:v>334</x:v>
      </x:c>
      <x:c r="G30" s="13" t="s">
        <x:v>343</x:v>
      </x:c>
      <x:c r="H30" s="13" t="s">
        <x:v>175</x:v>
      </x:c>
      <x:c r="I30" s="13" t="s">
        <x:v>105</x:v>
      </x:c>
      <x:c r="J30" s="13" t="s">
        <x:v>144</x:v>
      </x:c>
      <x:c r="K30" s="13" t="s">
        <x:v>303</x:v>
      </x:c>
    </x:row>
    <x:row r="31" spans="1:11">
      <x:c r="A31" s="13" t="s">
        <x:v>306</x:v>
      </x:c>
      <x:c r="B31" s="13" t="s">
        <x:v>20</x:v>
      </x:c>
      <x:c r="C31" s="13" t="s">
        <x:v>99</x:v>
      </x:c>
      <x:c r="D31" s="13" t="s">
        <x:v>50</x:v>
      </x:c>
      <x:c r="E31" s="13" t="s">
        <x:v>261</x:v>
      </x:c>
      <x:c r="F31" s="13" t="s">
        <x:v>225</x:v>
      </x:c>
      <x:c r="G31" s="13" t="s">
        <x:v>206</x:v>
      </x:c>
      <x:c r="H31" s="13" t="s">
        <x:v>206</x:v>
      </x:c>
      <x:c r="I31" s="13" t="s">
        <x:v>164</x:v>
      </x:c>
      <x:c r="J31" s="13" t="s">
        <x:v>169</x:v>
      </x:c>
      <x:c r="K31" s="13" t="s">
        <x:v>303</x:v>
      </x:c>
    </x:row>
    <x:row r="32" spans="1:11">
      <x:c r="A32" s="13" t="s">
        <x:v>287</x:v>
      </x:c>
      <x:c r="B32" s="13" t="s">
        <x:v>17</x:v>
      </x:c>
      <x:c r="C32" s="13" t="s">
        <x:v>62</x:v>
      </x:c>
      <x:c r="D32" s="13" t="s">
        <x:v>35</x:v>
      </x:c>
      <x:c r="E32" s="13" t="s">
        <x:v>292</x:v>
      </x:c>
      <x:c r="F32" s="13" t="s">
        <x:v>225</x:v>
      </x:c>
      <x:c r="G32" s="13" t="s">
        <x:v>206</x:v>
      </x:c>
      <x:c r="H32" s="13" t="s">
        <x:v>206</x:v>
      </x:c>
      <x:c r="I32" s="13" t="s">
        <x:v>153</x:v>
      </x:c>
      <x:c r="J32" s="13" t="s">
        <x:v>321</x:v>
      </x:c>
      <x:c r="K32" s="13" t="s">
        <x:v>303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produccts</vt:lpstr>
      <vt:lpstr>상품상세</vt:lpstr>
    </vt:vector>
  </ep:TitlesOfParts>
  <ep:TotalTime>443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cp:revision>47</cp:revision>
  <cp:lastPrinted>2026-05-03T06:30:51.989</cp:lastPrinted>
  <dcterms:created xsi:type="dcterms:W3CDTF">2026-05-02T14:21:12.653</dcterms:created>
  <dcterms:modified xsi:type="dcterms:W3CDTF">2026-05-03T09:46:36.864</dcterms:modified>
  <cp:version>1100.0100.01</cp:version>
</cp:coreProperties>
</file>